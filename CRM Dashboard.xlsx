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Neha\Desktop\Projects - Topmentor\Project 19 - CRM Dashboard\"/>
    </mc:Choice>
  </mc:AlternateContent>
  <xr:revisionPtr revIDLastSave="0" documentId="13_ncr:1_{038666A2-1436-453F-A6C6-345D03237453}" xr6:coauthVersionLast="47" xr6:coauthVersionMax="47" xr10:uidLastSave="{00000000-0000-0000-0000-000000000000}"/>
  <bookViews>
    <workbookView xWindow="-110" yWindow="-110" windowWidth="19420" windowHeight="11500" activeTab="4" xr2:uid="{00000000-000D-0000-FFFF-FFFF00000000}"/>
  </bookViews>
  <sheets>
    <sheet name="Customers" sheetId="1" r:id="rId1"/>
    <sheet name="Leads" sheetId="2" r:id="rId2"/>
    <sheet name="Opportunities" sheetId="3" r:id="rId3"/>
    <sheet name="Follow-ups" sheetId="4" r:id="rId4"/>
    <sheet name="Dashboard" sheetId="5" r:id="rId5"/>
  </sheets>
  <definedNames>
    <definedName name="Slicer_City">#N/A</definedName>
    <definedName name="Slicer_Industry">#N/A</definedName>
    <definedName name="Slicer_Lead_Status">#N/A</definedName>
    <definedName name="Slicer_Priority">#N/A</definedName>
    <definedName name="Slicer_Product">#N/A</definedName>
    <definedName name="Slicer_Product1">#N/A</definedName>
    <definedName name="Slicer_Salesperson">#N/A</definedName>
    <definedName name="Slicer_Source">#N/A</definedName>
    <definedName name="Slicer_Stage">#N/A</definedName>
    <definedName name="Slicer_Stage1">#N/A</definedName>
    <definedName name="Slicer_Status">#N/A</definedName>
  </definedNames>
  <calcPr calcId="191029"/>
  <pivotCaches>
    <pivotCache cacheId="0" r:id="rId6"/>
    <pivotCache cacheId="1" r:id="rId7"/>
    <pivotCache cacheId="2" r:id="rId8"/>
    <pivotCache cacheId="3"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5" l="1"/>
  <c r="E9" i="5"/>
  <c r="A9" i="5"/>
  <c r="I5" i="5"/>
  <c r="E5" i="5"/>
  <c r="A5" i="5"/>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2" i="1"/>
</calcChain>
</file>

<file path=xl/sharedStrings.xml><?xml version="1.0" encoding="utf-8"?>
<sst xmlns="http://schemas.openxmlformats.org/spreadsheetml/2006/main" count="832" uniqueCount="407">
  <si>
    <t>Customer ID</t>
  </si>
  <si>
    <t>Customer Name</t>
  </si>
  <si>
    <t>Company</t>
  </si>
  <si>
    <t>Industry</t>
  </si>
  <si>
    <t>Email</t>
  </si>
  <si>
    <t>Phone</t>
  </si>
  <si>
    <t>Salesperson</t>
  </si>
  <si>
    <t xml:space="preserve">City </t>
  </si>
  <si>
    <t>C001</t>
  </si>
  <si>
    <t>Sanjay Das</t>
  </si>
  <si>
    <t>Capgemini</t>
  </si>
  <si>
    <t>E-Commerce</t>
  </si>
  <si>
    <t>sanjay.das@gmail.com</t>
  </si>
  <si>
    <t>Kolkata</t>
  </si>
  <si>
    <t>Ankit</t>
  </si>
  <si>
    <t>C002</t>
  </si>
  <si>
    <t>Aman Jain</t>
  </si>
  <si>
    <t>aman.jain@gmail.com</t>
  </si>
  <si>
    <t>Priya</t>
  </si>
  <si>
    <t>C003</t>
  </si>
  <si>
    <t>Nikhil Joshi</t>
  </si>
  <si>
    <t>Flipkart</t>
  </si>
  <si>
    <t>nikhil.joshi@gmail.com</t>
  </si>
  <si>
    <t>Rahul</t>
  </si>
  <si>
    <t>C004</t>
  </si>
  <si>
    <t>Sneha</t>
  </si>
  <si>
    <t>C005</t>
  </si>
  <si>
    <t>Rahul Sharma</t>
  </si>
  <si>
    <t>rahul.sharma@gmail.com</t>
  </si>
  <si>
    <t>C006</t>
  </si>
  <si>
    <t>Arjun Kumar</t>
  </si>
  <si>
    <t>arjun.kumar@gmail.com</t>
  </si>
  <si>
    <t>Bangalore</t>
  </si>
  <si>
    <t>C007</t>
  </si>
  <si>
    <t>Neha Gupta</t>
  </si>
  <si>
    <t>neha.gupta@gmail.com</t>
  </si>
  <si>
    <t>Delhi</t>
  </si>
  <si>
    <t>Karan</t>
  </si>
  <si>
    <t>C008</t>
  </si>
  <si>
    <t>Meera Iyer</t>
  </si>
  <si>
    <t>Infosys</t>
  </si>
  <si>
    <t>Software</t>
  </si>
  <si>
    <t>meera.iyer@gmail.com</t>
  </si>
  <si>
    <t>Mumbai</t>
  </si>
  <si>
    <t>Neha</t>
  </si>
  <si>
    <t>C009</t>
  </si>
  <si>
    <t>C010</t>
  </si>
  <si>
    <t>TCS</t>
  </si>
  <si>
    <t>Retail</t>
  </si>
  <si>
    <t>Chennai</t>
  </si>
  <si>
    <t>C011</t>
  </si>
  <si>
    <t>Cognizant</t>
  </si>
  <si>
    <t>C012</t>
  </si>
  <si>
    <t>John Thomas</t>
  </si>
  <si>
    <t>john.thomas@gmail.com</t>
  </si>
  <si>
    <t>C013</t>
  </si>
  <si>
    <t>C014</t>
  </si>
  <si>
    <t>Deepak Nair</t>
  </si>
  <si>
    <t>Manufacturing</t>
  </si>
  <si>
    <t>deepak.nair@gmail.com</t>
  </si>
  <si>
    <t>C015</t>
  </si>
  <si>
    <t>Rohit Verma</t>
  </si>
  <si>
    <t>ABC Pvt Ltd</t>
  </si>
  <si>
    <t>rohit.verma@gmail.com</t>
  </si>
  <si>
    <t>Pune</t>
  </si>
  <si>
    <t>C016</t>
  </si>
  <si>
    <t>Ananya Singh</t>
  </si>
  <si>
    <t>ananya.singh@gmail.com</t>
  </si>
  <si>
    <t>C017</t>
  </si>
  <si>
    <t>Amazon</t>
  </si>
  <si>
    <t>Ahmedabad</t>
  </si>
  <si>
    <t>C018</t>
  </si>
  <si>
    <t>C019</t>
  </si>
  <si>
    <t>C020</t>
  </si>
  <si>
    <t>Wipro</t>
  </si>
  <si>
    <t>C021</t>
  </si>
  <si>
    <t>Riya Kapoor</t>
  </si>
  <si>
    <t>Accenture</t>
  </si>
  <si>
    <t>riya.kapoor@gmail.com</t>
  </si>
  <si>
    <t>C022</t>
  </si>
  <si>
    <t>C023</t>
  </si>
  <si>
    <t>C024</t>
  </si>
  <si>
    <t>C025</t>
  </si>
  <si>
    <t>Kiran Rao</t>
  </si>
  <si>
    <t>kiran.rao@gmail.com</t>
  </si>
  <si>
    <t>Aditya Rao</t>
  </si>
  <si>
    <t>aditya.rao@gmail.com</t>
  </si>
  <si>
    <t>C027</t>
  </si>
  <si>
    <t>Sneha Reddy</t>
  </si>
  <si>
    <t>sneha.reddy@gmail.com</t>
  </si>
  <si>
    <t>C028</t>
  </si>
  <si>
    <t>C029</t>
  </si>
  <si>
    <t>C030</t>
  </si>
  <si>
    <t>C031</t>
  </si>
  <si>
    <t>Pooja Shah</t>
  </si>
  <si>
    <t>pooja.shah@gmail.com</t>
  </si>
  <si>
    <t>C032</t>
  </si>
  <si>
    <t>C034</t>
  </si>
  <si>
    <t>C035</t>
  </si>
  <si>
    <t>C036</t>
  </si>
  <si>
    <t>C037</t>
  </si>
  <si>
    <t>C038</t>
  </si>
  <si>
    <t>Vikram Mehta</t>
  </si>
  <si>
    <t>vikram.mehta@gmail.com</t>
  </si>
  <si>
    <t>C039</t>
  </si>
  <si>
    <t>C040</t>
  </si>
  <si>
    <t>Aisha Khan</t>
  </si>
  <si>
    <t>aisha.khan@gmail.com</t>
  </si>
  <si>
    <t>Priya Patel</t>
  </si>
  <si>
    <t>priya.patel@gmail.com</t>
  </si>
  <si>
    <t>Divya Menon</t>
  </si>
  <si>
    <t>divya.menon@gmail.com</t>
  </si>
  <si>
    <t>Lead ID</t>
  </si>
  <si>
    <t>Lead Status</t>
  </si>
  <si>
    <t>Source</t>
  </si>
  <si>
    <t>Expected Revenue</t>
  </si>
  <si>
    <t>Priority</t>
  </si>
  <si>
    <t>Created Date</t>
  </si>
  <si>
    <t>Opportunity ID</t>
  </si>
  <si>
    <t>Product</t>
  </si>
  <si>
    <t>Amount</t>
  </si>
  <si>
    <t>Probability (%)</t>
  </si>
  <si>
    <t>Closing Date</t>
  </si>
  <si>
    <t>Stage</t>
  </si>
  <si>
    <t>Follow-Up ID</t>
  </si>
  <si>
    <t>Follow-Up Date</t>
  </si>
  <si>
    <t>Next Follow-Up</t>
  </si>
  <si>
    <t>Notes</t>
  </si>
  <si>
    <t>Status</t>
  </si>
  <si>
    <t>Akash Singh</t>
  </si>
  <si>
    <t>Ramesh Kumar</t>
  </si>
  <si>
    <t>Suresh Patil</t>
  </si>
  <si>
    <t>Kavya Nair</t>
  </si>
  <si>
    <t>Harsha Gowda</t>
  </si>
  <si>
    <t>Nisha Verma</t>
  </si>
  <si>
    <t>Aditi Rao</t>
  </si>
  <si>
    <t>Mohit Jain</t>
  </si>
  <si>
    <t>Shreya Kapoor</t>
  </si>
  <si>
    <t>Karthik Reddy</t>
  </si>
  <si>
    <t>Manoj Sharma</t>
  </si>
  <si>
    <t>Pallavi Iyer</t>
  </si>
  <si>
    <t>Varun Mehta</t>
  </si>
  <si>
    <t>Ritika Singh</t>
  </si>
  <si>
    <t>Abhishek Das</t>
  </si>
  <si>
    <t>Komal Patel</t>
  </si>
  <si>
    <t>Yash Gupta</t>
  </si>
  <si>
    <t>Sanjana Rao</t>
  </si>
  <si>
    <t>Tarun Nair</t>
  </si>
  <si>
    <t>Pavan Kumar</t>
  </si>
  <si>
    <t>XYZ Ltd</t>
  </si>
  <si>
    <t>Reliance Industries</t>
  </si>
  <si>
    <t>HCL Technologies</t>
  </si>
  <si>
    <t>TechNova Solutions</t>
  </si>
  <si>
    <t>InnoSoft Technologies</t>
  </si>
  <si>
    <t>Global Retail Pvt Ltd</t>
  </si>
  <si>
    <t>NextGen Solutions</t>
  </si>
  <si>
    <t>BlueSky Technologies</t>
  </si>
  <si>
    <t>CloudWorks Pvt Ltd</t>
  </si>
  <si>
    <t>SmartTech Solutions</t>
  </si>
  <si>
    <t>Prime Innovations</t>
  </si>
  <si>
    <t>FutureSoft Technologies</t>
  </si>
  <si>
    <t>Vision Enterprises</t>
  </si>
  <si>
    <t>Digital Edge Pvt Ltd</t>
  </si>
  <si>
    <t>GreenLeaf Solutions</t>
  </si>
  <si>
    <t>Bright Minds Pvt Ltd</t>
  </si>
  <si>
    <t>Apex Technologies</t>
  </si>
  <si>
    <t>Nova Systems</t>
  </si>
  <si>
    <t>Elite Infotech</t>
  </si>
  <si>
    <t>Skyline Solutions</t>
  </si>
  <si>
    <t>Vertex Technologies</t>
  </si>
  <si>
    <t>Fusion Corp</t>
  </si>
  <si>
    <t>Pioneer Systems</t>
  </si>
  <si>
    <t>Zenith Technologies</t>
  </si>
  <si>
    <t>Nexus Solutions</t>
  </si>
  <si>
    <t>Alpha Innovations</t>
  </si>
  <si>
    <t>Infinity Solutions</t>
  </si>
  <si>
    <t>Matrix Technologies</t>
  </si>
  <si>
    <t>Quantum Software</t>
  </si>
  <si>
    <t>Rapid Solutions</t>
  </si>
  <si>
    <t>Spark Technologies</t>
  </si>
  <si>
    <t>IT Services</t>
  </si>
  <si>
    <t>Consulting</t>
  </si>
  <si>
    <t>Technology</t>
  </si>
  <si>
    <t>Telecommunications</t>
  </si>
  <si>
    <t>FinTech</t>
  </si>
  <si>
    <t>Engineering</t>
  </si>
  <si>
    <t>Semiconductors</t>
  </si>
  <si>
    <t>Networking</t>
  </si>
  <si>
    <t>Enterprise Software</t>
  </si>
  <si>
    <t>Noida</t>
  </si>
  <si>
    <t>Gurgaon</t>
  </si>
  <si>
    <t>akash.singh@gmail.com</t>
  </si>
  <si>
    <t>ramesh.kumar@gmail.com</t>
  </si>
  <si>
    <t>suresh.patil@gmail.com</t>
  </si>
  <si>
    <t>kavya.nair@gmail.com</t>
  </si>
  <si>
    <t>harsha.gowda@gmail.com</t>
  </si>
  <si>
    <t>nisha.verma@gmail.com</t>
  </si>
  <si>
    <t>aditi.rao@gmail.com</t>
  </si>
  <si>
    <t>mohit.jain@gmail.com</t>
  </si>
  <si>
    <t>shreya.kapoor@gmail.com</t>
  </si>
  <si>
    <t>karthik.reddy@gmail.com</t>
  </si>
  <si>
    <t>manoj.sharma@gmail.com</t>
  </si>
  <si>
    <t>pallavi.iyer@gmail.com</t>
  </si>
  <si>
    <t>varun.mehta@gmail.com</t>
  </si>
  <si>
    <t>ritika.singh@gmail.com</t>
  </si>
  <si>
    <t>abhishek.das@gmail.com</t>
  </si>
  <si>
    <t>komal.patel@gmail.com</t>
  </si>
  <si>
    <t>yash.gupta@gmail.com</t>
  </si>
  <si>
    <t>sanjana.rao@gmail.com</t>
  </si>
  <si>
    <t>tarun.nair@gmail.com</t>
  </si>
  <si>
    <t>pavan.kumar@gmail.com</t>
  </si>
  <si>
    <t>7295065228</t>
  </si>
  <si>
    <t>8128294463</t>
  </si>
  <si>
    <t>6569394081</t>
  </si>
  <si>
    <t>9316165576</t>
  </si>
  <si>
    <t>7100393433</t>
  </si>
  <si>
    <t>8360506364</t>
  </si>
  <si>
    <t>6836918603</t>
  </si>
  <si>
    <t>7160353236</t>
  </si>
  <si>
    <t>7358677103</t>
  </si>
  <si>
    <t>8201181881</t>
  </si>
  <si>
    <t>8980385975</t>
  </si>
  <si>
    <t>8564693392</t>
  </si>
  <si>
    <t>7263215532</t>
  </si>
  <si>
    <t>9274355505</t>
  </si>
  <si>
    <t>7761675677</t>
  </si>
  <si>
    <t>8171389148</t>
  </si>
  <si>
    <t>9398508578</t>
  </si>
  <si>
    <t>9788554400</t>
  </si>
  <si>
    <t>7946559625</t>
  </si>
  <si>
    <t>7661651609</t>
  </si>
  <si>
    <t>8981101612</t>
  </si>
  <si>
    <t>9664539394</t>
  </si>
  <si>
    <t>8654835202</t>
  </si>
  <si>
    <t>6466919756</t>
  </si>
  <si>
    <t>9351060086</t>
  </si>
  <si>
    <t>6397278602</t>
  </si>
  <si>
    <t>6706414489</t>
  </si>
  <si>
    <t>8151451152</t>
  </si>
  <si>
    <t>7739931931</t>
  </si>
  <si>
    <t>9668560231</t>
  </si>
  <si>
    <t>7784104071</t>
  </si>
  <si>
    <t>9954677737</t>
  </si>
  <si>
    <t>8701229169</t>
  </si>
  <si>
    <t>8695374183</t>
  </si>
  <si>
    <t>7321045923</t>
  </si>
  <si>
    <t>8362450682</t>
  </si>
  <si>
    <t>6496023239</t>
  </si>
  <si>
    <t>7731321253</t>
  </si>
  <si>
    <t>7921766665</t>
  </si>
  <si>
    <t>8307798168</t>
  </si>
  <si>
    <t>L001</t>
  </si>
  <si>
    <t>Contacted</t>
  </si>
  <si>
    <t>Medium</t>
  </si>
  <si>
    <t>L002</t>
  </si>
  <si>
    <t>Lost</t>
  </si>
  <si>
    <t>LinkedIn</t>
  </si>
  <si>
    <t>L003</t>
  </si>
  <si>
    <t>Qualified</t>
  </si>
  <si>
    <t>High</t>
  </si>
  <si>
    <t>L004</t>
  </si>
  <si>
    <t>Won</t>
  </si>
  <si>
    <t>Cold Call</t>
  </si>
  <si>
    <t>Low</t>
  </si>
  <si>
    <t>L005</t>
  </si>
  <si>
    <t>L006</t>
  </si>
  <si>
    <t>L007</t>
  </si>
  <si>
    <t>Referral</t>
  </si>
  <si>
    <t>L008</t>
  </si>
  <si>
    <t>Negotiation</t>
  </si>
  <si>
    <t>Website</t>
  </si>
  <si>
    <t>L009</t>
  </si>
  <si>
    <t>L010</t>
  </si>
  <si>
    <t>L011</t>
  </si>
  <si>
    <t>L012</t>
  </si>
  <si>
    <t>L013</t>
  </si>
  <si>
    <t>L014</t>
  </si>
  <si>
    <t>L015</t>
  </si>
  <si>
    <t>L016</t>
  </si>
  <si>
    <t>L017</t>
  </si>
  <si>
    <t>L018</t>
  </si>
  <si>
    <t>L019</t>
  </si>
  <si>
    <t>L020</t>
  </si>
  <si>
    <t>L021</t>
  </si>
  <si>
    <t>Proposal Sent</t>
  </si>
  <si>
    <t>L022</t>
  </si>
  <si>
    <t>L023</t>
  </si>
  <si>
    <t>L024</t>
  </si>
  <si>
    <t>L025</t>
  </si>
  <si>
    <t>L026</t>
  </si>
  <si>
    <t>New</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</si>
  <si>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</si>
  <si>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</si>
  <si>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</si>
  <si>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</si>
  <si>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</si>
  <si>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</si>
  <si>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</si>
  <si>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</si>
  <si>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</si>
  <si>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</si>
  <si>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</si>
  <si>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</si>
  <si>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</si>
  <si>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</si>
  <si>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</si>
  <si>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</si>
  <si>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</si>
  <si>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</si>
  <si>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</si>
  <si>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</si>
  <si>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</si>
  <si>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</si>
  <si>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</si>
  <si>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</si>
  <si>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O001</t>
  </si>
  <si>
    <t>Data Analytics</t>
  </si>
  <si>
    <t>Prospecting</t>
  </si>
  <si>
    <t>O002</t>
  </si>
  <si>
    <t>AI Chatbot</t>
  </si>
  <si>
    <t>Proposal</t>
  </si>
  <si>
    <t>O003</t>
  </si>
  <si>
    <t>HRMS</t>
  </si>
  <si>
    <t>O004</t>
  </si>
  <si>
    <t>O005</t>
  </si>
  <si>
    <t>Cloud Hosting</t>
  </si>
  <si>
    <t>Closed Lost</t>
  </si>
  <si>
    <t>O006</t>
  </si>
  <si>
    <t>Cyber Security</t>
  </si>
  <si>
    <t>O007</t>
  </si>
  <si>
    <t>Inventory System</t>
  </si>
  <si>
    <t>O008</t>
  </si>
  <si>
    <t>ERP System</t>
  </si>
  <si>
    <t>O009</t>
  </si>
  <si>
    <t>O010</t>
  </si>
  <si>
    <t>CRM Software</t>
  </si>
  <si>
    <t>O011</t>
  </si>
  <si>
    <t>Closed Won</t>
  </si>
  <si>
    <t>O012</t>
  </si>
  <si>
    <t>O013</t>
  </si>
  <si>
    <t>O014</t>
  </si>
  <si>
    <t>O015</t>
  </si>
  <si>
    <t>O016</t>
  </si>
  <si>
    <t>O017</t>
  </si>
  <si>
    <t>O018</t>
  </si>
  <si>
    <t>O019</t>
  </si>
  <si>
    <t>O020</t>
  </si>
  <si>
    <t>O021</t>
  </si>
  <si>
    <t>O022</t>
  </si>
  <si>
    <t>O023</t>
  </si>
  <si>
    <t>O024</t>
  </si>
  <si>
    <t>O025</t>
  </si>
  <si>
    <t>O026</t>
  </si>
  <si>
    <t>O027</t>
  </si>
  <si>
    <t>O028</t>
  </si>
  <si>
    <t>O029</t>
  </si>
  <si>
    <t>O030</t>
  </si>
  <si>
    <t>F001</t>
  </si>
  <si>
    <t>Proposal Shared</t>
  </si>
  <si>
    <t>Completed</t>
  </si>
  <si>
    <t>F002</t>
  </si>
  <si>
    <t>Call Scheduled</t>
  </si>
  <si>
    <t>Cancelled</t>
  </si>
  <si>
    <t>F003</t>
  </si>
  <si>
    <t>F004</t>
  </si>
  <si>
    <t>Client Requested Callback</t>
  </si>
  <si>
    <t>F005</t>
  </si>
  <si>
    <t>F006</t>
  </si>
  <si>
    <t>Follow-up Required</t>
  </si>
  <si>
    <t>F007</t>
  </si>
  <si>
    <t>F008</t>
  </si>
  <si>
    <t>F009</t>
  </si>
  <si>
    <t>Email Sent</t>
  </si>
  <si>
    <t>Pending</t>
  </si>
  <si>
    <t>F010</t>
  </si>
  <si>
    <t>Waiting for Response</t>
  </si>
  <si>
    <t>F011</t>
  </si>
  <si>
    <t>F012</t>
  </si>
  <si>
    <t>F013</t>
  </si>
  <si>
    <t>Demo Completed</t>
  </si>
  <si>
    <t>F014</t>
  </si>
  <si>
    <t>F015</t>
  </si>
  <si>
    <t>F016</t>
  </si>
  <si>
    <t>F017</t>
  </si>
  <si>
    <t>Meeting Scheduled</t>
  </si>
  <si>
    <t>F018</t>
  </si>
  <si>
    <t>F019</t>
  </si>
  <si>
    <t>F020</t>
  </si>
  <si>
    <t>F021</t>
  </si>
  <si>
    <t>F022</t>
  </si>
  <si>
    <t>F023</t>
  </si>
  <si>
    <t>F024</t>
  </si>
  <si>
    <t>F025</t>
  </si>
  <si>
    <t>CRM Dashboard</t>
  </si>
  <si>
    <t>Total Customers</t>
  </si>
  <si>
    <t>Total Leads</t>
  </si>
  <si>
    <t>Total Opportunities</t>
  </si>
  <si>
    <t>Total Follow-Ups</t>
  </si>
  <si>
    <t>Total Revenue</t>
  </si>
  <si>
    <t>Avg Deal Size</t>
  </si>
  <si>
    <t>Row Labels</t>
  </si>
  <si>
    <t>Grand Total</t>
  </si>
  <si>
    <t>Count of Lead ID</t>
  </si>
  <si>
    <t>Sum of Amount</t>
  </si>
  <si>
    <t>Count of Opportunity ID</t>
  </si>
  <si>
    <t>Count of Customer ID</t>
  </si>
  <si>
    <t>Count of Follow-Up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</si>
</sst>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sz val="20"/>
      <color theme="1"/>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61">
    <xf numFmtId="0" fontId="0" fillId="0" borderId="0" xfId="0"/>
    <xf numFmtId="0" fontId="0" fillId="0" borderId="0" xfId="0" applyAlignment="1">
      <alignment vertical="center"/>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4" borderId="0" xfId="0" applyFill="1" applyAlignment="1">
      <alignment horizontal="center"/>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0" fillId="4" borderId="8" xfId="0" applyFill="1" applyBorder="1" applyAlignment="1">
      <alignment horizontal="center"/>
    </xf>
    <xf numFmtId="0" fontId="0" fillId="5" borderId="1" xfId="0"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0" xfId="0" applyFill="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6" borderId="1" xfId="0" applyFill="1" applyBorder="1" applyAlignment="1">
      <alignment horizontal="center"/>
    </xf>
    <xf numFmtId="0" fontId="0" fillId="6" borderId="2" xfId="0" applyFill="1" applyBorder="1" applyAlignment="1">
      <alignment horizontal="center"/>
    </xf>
    <xf numFmtId="0" fontId="0" fillId="6" borderId="3" xfId="0" applyFill="1" applyBorder="1" applyAlignment="1">
      <alignment horizontal="center"/>
    </xf>
    <xf numFmtId="164" fontId="0" fillId="6" borderId="4" xfId="0" applyNumberFormat="1" applyFill="1" applyBorder="1" applyAlignment="1">
      <alignment horizontal="center"/>
    </xf>
    <xf numFmtId="164" fontId="0" fillId="6" borderId="0" xfId="0" applyNumberFormat="1" applyFill="1" applyAlignment="1">
      <alignment horizontal="center"/>
    </xf>
    <xf numFmtId="164" fontId="0" fillId="6" borderId="5" xfId="0" applyNumberFormat="1" applyFill="1" applyBorder="1" applyAlignment="1">
      <alignment horizontal="center"/>
    </xf>
    <xf numFmtId="164" fontId="0" fillId="6" borderId="6" xfId="0" applyNumberFormat="1" applyFill="1" applyBorder="1" applyAlignment="1">
      <alignment horizontal="center"/>
    </xf>
    <xf numFmtId="164" fontId="0" fillId="6" borderId="7" xfId="0" applyNumberFormat="1" applyFill="1" applyBorder="1" applyAlignment="1">
      <alignment horizontal="center"/>
    </xf>
    <xf numFmtId="164" fontId="0" fillId="6" borderId="8" xfId="0" applyNumberFormat="1" applyFill="1" applyBorder="1" applyAlignment="1">
      <alignment horizontal="center"/>
    </xf>
    <xf numFmtId="0" fontId="0" fillId="7" borderId="1" xfId="0" applyFill="1" applyBorder="1" applyAlignment="1">
      <alignment horizontal="center"/>
    </xf>
    <xf numFmtId="0" fontId="0" fillId="7" borderId="2" xfId="0" applyFill="1" applyBorder="1" applyAlignment="1">
      <alignment horizontal="center"/>
    </xf>
    <xf numFmtId="0" fontId="0" fillId="7" borderId="3" xfId="0" applyFill="1" applyBorder="1" applyAlignment="1">
      <alignment horizontal="center"/>
    </xf>
    <xf numFmtId="164" fontId="0" fillId="7" borderId="4" xfId="0" applyNumberFormat="1" applyFill="1" applyBorder="1" applyAlignment="1">
      <alignment horizontal="center"/>
    </xf>
    <xf numFmtId="164" fontId="0" fillId="7" borderId="0" xfId="0" applyNumberFormat="1" applyFill="1" applyAlignment="1">
      <alignment horizontal="center"/>
    </xf>
    <xf numFmtId="164" fontId="0" fillId="7" borderId="5" xfId="0" applyNumberFormat="1" applyFill="1" applyBorder="1" applyAlignment="1">
      <alignment horizontal="center"/>
    </xf>
    <xf numFmtId="164" fontId="0" fillId="7" borderId="6" xfId="0" applyNumberFormat="1" applyFill="1" applyBorder="1" applyAlignment="1">
      <alignment horizontal="center"/>
    </xf>
    <xf numFmtId="164" fontId="0" fillId="7" borderId="7" xfId="0" applyNumberFormat="1" applyFill="1" applyBorder="1" applyAlignment="1">
      <alignment horizontal="center"/>
    </xf>
    <xf numFmtId="164" fontId="0" fillId="7" borderId="8" xfId="0" applyNumberFormat="1"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0" fillId="3" borderId="0" xfId="0" applyFill="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aredStrings" Target="sharedString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Dashboard.xlsx]Dashboard!PivotTable1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Dashboard!$B$13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90-498A-8CF9-AA5F268D47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90-498A-8CF9-AA5F268D47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90-498A-8CF9-AA5F268D47A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90-498A-8CF9-AA5F268D47A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90-498A-8CF9-AA5F268D47A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90-498A-8CF9-AA5F268D47A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190-498A-8CF9-AA5F268D47A2}"/>
              </c:ext>
            </c:extLst>
          </c:dPt>
          <c:cat>
            <c:strRef>
              <c:f>Dashboard!$A$14:$A$21</c:f>
              <c:strCache>
                <c:ptCount val="7"/>
                <c:pt idx="0">
                  <c:v>Contacted</c:v>
                </c:pt>
                <c:pt idx="1">
                  <c:v>Lost</c:v>
                </c:pt>
                <c:pt idx="2">
                  <c:v>Negotiation</c:v>
                </c:pt>
                <c:pt idx="3">
                  <c:v>New</c:v>
                </c:pt>
                <c:pt idx="4">
                  <c:v>Proposal Sent</c:v>
                </c:pt>
                <c:pt idx="5">
                  <c:v>Qualified</c:v>
                </c:pt>
                <c:pt idx="6">
                  <c:v>Won</c:v>
                </c:pt>
              </c:strCache>
            </c:strRef>
          </c:cat>
          <c:val>
            <c:numRef>
              <c:f>Dashboard!$B$14:$B$21</c:f>
              <c:numCache>
                <c:formatCode>General</c:formatCode>
                <c:ptCount val="7"/>
                <c:pt idx="0">
                  <c:v>10</c:v>
                </c:pt>
                <c:pt idx="1">
                  <c:v>9</c:v>
                </c:pt>
                <c:pt idx="2">
                  <c:v>7</c:v>
                </c:pt>
                <c:pt idx="3">
                  <c:v>3</c:v>
                </c:pt>
                <c:pt idx="4">
                  <c:v>7</c:v>
                </c:pt>
                <c:pt idx="5">
                  <c:v>8</c:v>
                </c:pt>
                <c:pt idx="6">
                  <c:v>6</c:v>
                </c:pt>
              </c:numCache>
            </c:numRef>
          </c:val>
          <c:extLst>
            <c:ext xmlns:c16="http://schemas.microsoft.com/office/drawing/2014/chart" uri="{C3380CC4-5D6E-409C-BE32-E72D297353CC}">
              <c16:uniqueId val="{00000000-FE2F-4E1D-95F6-CCAFDC46F11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35893924630659"/>
          <c:y val="0.52385281324736721"/>
          <c:w val="0.17626763451443569"/>
          <c:h val="0.47614728158980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Dashboard.xlsx]Dashboard!PivotTable2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Dashboard!$B$26</c:f>
              <c:strCache>
                <c:ptCount val="1"/>
                <c:pt idx="0">
                  <c:v>Total</c:v>
                </c:pt>
              </c:strCache>
            </c:strRef>
          </c:tx>
          <c:spPr>
            <a:solidFill>
              <a:schemeClr val="accent1"/>
            </a:solidFill>
            <a:ln>
              <a:noFill/>
            </a:ln>
            <a:effectLst/>
          </c:spPr>
          <c:invertIfNegative val="0"/>
          <c:cat>
            <c:strRef>
              <c:f>Dashboard!$A$27:$A$35</c:f>
              <c:strCache>
                <c:ptCount val="8"/>
                <c:pt idx="0">
                  <c:v>AI Chatbot</c:v>
                </c:pt>
                <c:pt idx="1">
                  <c:v>Cloud Hosting</c:v>
                </c:pt>
                <c:pt idx="2">
                  <c:v>CRM Software</c:v>
                </c:pt>
                <c:pt idx="3">
                  <c:v>Cyber Security</c:v>
                </c:pt>
                <c:pt idx="4">
                  <c:v>Data Analytics</c:v>
                </c:pt>
                <c:pt idx="5">
                  <c:v>ERP System</c:v>
                </c:pt>
                <c:pt idx="6">
                  <c:v>HRMS</c:v>
                </c:pt>
                <c:pt idx="7">
                  <c:v>Inventory System</c:v>
                </c:pt>
              </c:strCache>
            </c:strRef>
          </c:cat>
          <c:val>
            <c:numRef>
              <c:f>Dashboard!$B$27:$B$35</c:f>
              <c:numCache>
                <c:formatCode>"₹"\ #,##0.00</c:formatCode>
                <c:ptCount val="8"/>
                <c:pt idx="0">
                  <c:v>3709234</c:v>
                </c:pt>
                <c:pt idx="1">
                  <c:v>2732457</c:v>
                </c:pt>
                <c:pt idx="2">
                  <c:v>5360620</c:v>
                </c:pt>
                <c:pt idx="3">
                  <c:v>3718538</c:v>
                </c:pt>
                <c:pt idx="4">
                  <c:v>3874157</c:v>
                </c:pt>
                <c:pt idx="5">
                  <c:v>4414265</c:v>
                </c:pt>
                <c:pt idx="6">
                  <c:v>10571867</c:v>
                </c:pt>
                <c:pt idx="7">
                  <c:v>3398816</c:v>
                </c:pt>
              </c:numCache>
            </c:numRef>
          </c:val>
          <c:extLst>
            <c:ext xmlns:c16="http://schemas.microsoft.com/office/drawing/2014/chart" uri="{C3380CC4-5D6E-409C-BE32-E72D297353CC}">
              <c16:uniqueId val="{00000000-55C3-41DB-A7D4-5AC148F77545}"/>
            </c:ext>
          </c:extLst>
        </c:ser>
        <c:dLbls>
          <c:showLegendKey val="0"/>
          <c:showVal val="0"/>
          <c:showCatName val="0"/>
          <c:showSerName val="0"/>
          <c:showPercent val="0"/>
          <c:showBubbleSize val="0"/>
        </c:dLbls>
        <c:gapWidth val="219"/>
        <c:overlap val="-27"/>
        <c:axId val="364997103"/>
        <c:axId val="364999983"/>
      </c:barChart>
      <c:catAx>
        <c:axId val="36499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99983"/>
        <c:crosses val="autoZero"/>
        <c:auto val="1"/>
        <c:lblAlgn val="ctr"/>
        <c:lblOffset val="100"/>
        <c:noMultiLvlLbl val="0"/>
      </c:catAx>
      <c:valAx>
        <c:axId val="364999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9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Dashboard.xlsx]Dashboard!PivotTable3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Dashboard!$B$44</c:f>
              <c:strCache>
                <c:ptCount val="1"/>
                <c:pt idx="0">
                  <c:v>Total</c:v>
                </c:pt>
              </c:strCache>
            </c:strRef>
          </c:tx>
          <c:spPr>
            <a:solidFill>
              <a:schemeClr val="accent1"/>
            </a:solidFill>
            <a:ln>
              <a:noFill/>
            </a:ln>
            <a:effectLst/>
          </c:spPr>
          <c:invertIfNegative val="0"/>
          <c:cat>
            <c:strRef>
              <c:f>Dashboard!$A$45:$A$50</c:f>
              <c:strCache>
                <c:ptCount val="5"/>
                <c:pt idx="0">
                  <c:v>Closed Lost</c:v>
                </c:pt>
                <c:pt idx="1">
                  <c:v>Closed Won</c:v>
                </c:pt>
                <c:pt idx="2">
                  <c:v>Negotiation</c:v>
                </c:pt>
                <c:pt idx="3">
                  <c:v>Proposal</c:v>
                </c:pt>
                <c:pt idx="4">
                  <c:v>Prospecting</c:v>
                </c:pt>
              </c:strCache>
            </c:strRef>
          </c:cat>
          <c:val>
            <c:numRef>
              <c:f>Dashboard!$B$45:$B$50</c:f>
              <c:numCache>
                <c:formatCode>General</c:formatCode>
                <c:ptCount val="5"/>
                <c:pt idx="0">
                  <c:v>8</c:v>
                </c:pt>
                <c:pt idx="1">
                  <c:v>2</c:v>
                </c:pt>
                <c:pt idx="2">
                  <c:v>4</c:v>
                </c:pt>
                <c:pt idx="3">
                  <c:v>7</c:v>
                </c:pt>
                <c:pt idx="4">
                  <c:v>9</c:v>
                </c:pt>
              </c:numCache>
            </c:numRef>
          </c:val>
          <c:extLst>
            <c:ext xmlns:c16="http://schemas.microsoft.com/office/drawing/2014/chart" uri="{C3380CC4-5D6E-409C-BE32-E72D297353CC}">
              <c16:uniqueId val="{00000000-61FC-42EC-ADEE-543AEAF13681}"/>
            </c:ext>
          </c:extLst>
        </c:ser>
        <c:dLbls>
          <c:showLegendKey val="0"/>
          <c:showVal val="0"/>
          <c:showCatName val="0"/>
          <c:showSerName val="0"/>
          <c:showPercent val="0"/>
          <c:showBubbleSize val="0"/>
        </c:dLbls>
        <c:gapWidth val="219"/>
        <c:overlap val="-27"/>
        <c:axId val="140997247"/>
        <c:axId val="140996287"/>
      </c:barChart>
      <c:catAx>
        <c:axId val="14099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6287"/>
        <c:crosses val="autoZero"/>
        <c:auto val="1"/>
        <c:lblAlgn val="ctr"/>
        <c:lblOffset val="100"/>
        <c:noMultiLvlLbl val="0"/>
      </c:catAx>
      <c:valAx>
        <c:axId val="14099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9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Dashboard.xlsx]Dashboard!PivotTable4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Dashboard!$B$58</c:f>
              <c:strCache>
                <c:ptCount val="1"/>
                <c:pt idx="0">
                  <c:v>Total</c:v>
                </c:pt>
              </c:strCache>
            </c:strRef>
          </c:tx>
          <c:spPr>
            <a:solidFill>
              <a:schemeClr val="accent1"/>
            </a:solidFill>
            <a:ln>
              <a:noFill/>
            </a:ln>
            <a:effectLst/>
          </c:spPr>
          <c:invertIfNegative val="0"/>
          <c:cat>
            <c:strRef>
              <c:f>Dashboard!$A$59:$A$68</c:f>
              <c:strCache>
                <c:ptCount val="9"/>
                <c:pt idx="0">
                  <c:v>Ahmedabad</c:v>
                </c:pt>
                <c:pt idx="1">
                  <c:v>Bangalore</c:v>
                </c:pt>
                <c:pt idx="2">
                  <c:v>Chennai</c:v>
                </c:pt>
                <c:pt idx="3">
                  <c:v>Delhi</c:v>
                </c:pt>
                <c:pt idx="4">
                  <c:v>Gurgaon</c:v>
                </c:pt>
                <c:pt idx="5">
                  <c:v>Kolkata</c:v>
                </c:pt>
                <c:pt idx="6">
                  <c:v>Mumbai</c:v>
                </c:pt>
                <c:pt idx="7">
                  <c:v>Noida</c:v>
                </c:pt>
                <c:pt idx="8">
                  <c:v>Pune</c:v>
                </c:pt>
              </c:strCache>
            </c:strRef>
          </c:cat>
          <c:val>
            <c:numRef>
              <c:f>Dashboard!$B$59:$B$68</c:f>
              <c:numCache>
                <c:formatCode>General</c:formatCode>
                <c:ptCount val="9"/>
                <c:pt idx="0">
                  <c:v>6</c:v>
                </c:pt>
                <c:pt idx="1">
                  <c:v>4</c:v>
                </c:pt>
                <c:pt idx="2">
                  <c:v>4</c:v>
                </c:pt>
                <c:pt idx="3">
                  <c:v>4</c:v>
                </c:pt>
                <c:pt idx="4">
                  <c:v>7</c:v>
                </c:pt>
                <c:pt idx="5">
                  <c:v>6</c:v>
                </c:pt>
                <c:pt idx="6">
                  <c:v>1</c:v>
                </c:pt>
                <c:pt idx="7">
                  <c:v>4</c:v>
                </c:pt>
                <c:pt idx="8">
                  <c:v>4</c:v>
                </c:pt>
              </c:numCache>
            </c:numRef>
          </c:val>
          <c:extLst>
            <c:ext xmlns:c16="http://schemas.microsoft.com/office/drawing/2014/chart" uri="{C3380CC4-5D6E-409C-BE32-E72D297353CC}">
              <c16:uniqueId val="{00000000-A44A-4548-B390-3DD508412FFF}"/>
            </c:ext>
          </c:extLst>
        </c:ser>
        <c:dLbls>
          <c:showLegendKey val="0"/>
          <c:showVal val="0"/>
          <c:showCatName val="0"/>
          <c:showSerName val="0"/>
          <c:showPercent val="0"/>
          <c:showBubbleSize val="0"/>
        </c:dLbls>
        <c:gapWidth val="219"/>
        <c:overlap val="-27"/>
        <c:axId val="289214303"/>
        <c:axId val="289212863"/>
      </c:barChart>
      <c:catAx>
        <c:axId val="28921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12863"/>
        <c:crosses val="autoZero"/>
        <c:auto val="1"/>
        <c:lblAlgn val="ctr"/>
        <c:lblOffset val="100"/>
        <c:noMultiLvlLbl val="0"/>
      </c:catAx>
      <c:valAx>
        <c:axId val="28921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1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 Dashboard.xlsx]Dashboard!PivotTable5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Dashboard!$B$73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83-4CAB-A8CD-1BBD5463F9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83-4CAB-A8CD-1BBD5463F9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83-4CAB-A8CD-1BBD5463F942}"/>
              </c:ext>
            </c:extLst>
          </c:dPt>
          <c:cat>
            <c:strRef>
              <c:f>Dashboard!$A$74:$A$77</c:f>
              <c:strCache>
                <c:ptCount val="3"/>
                <c:pt idx="0">
                  <c:v>Cancelled</c:v>
                </c:pt>
                <c:pt idx="1">
                  <c:v>Completed</c:v>
                </c:pt>
                <c:pt idx="2">
                  <c:v>Pending</c:v>
                </c:pt>
              </c:strCache>
            </c:strRef>
          </c:cat>
          <c:val>
            <c:numRef>
              <c:f>Dashboard!$B$74:$B$77</c:f>
              <c:numCache>
                <c:formatCode>General</c:formatCode>
                <c:ptCount val="3"/>
                <c:pt idx="0">
                  <c:v>9</c:v>
                </c:pt>
                <c:pt idx="1">
                  <c:v>10</c:v>
                </c:pt>
                <c:pt idx="2">
                  <c:v>6</c:v>
                </c:pt>
              </c:numCache>
            </c:numRef>
          </c:val>
          <c:extLst>
            <c:ext xmlns:c16="http://schemas.microsoft.com/office/drawing/2014/chart" uri="{C3380CC4-5D6E-409C-BE32-E72D297353CC}">
              <c16:uniqueId val="{00000000-12EA-48E9-A811-412F7A105B2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3410259832253697"/>
          <c:y val="0.26196213925915152"/>
          <c:w val="0.15025203009988811"/>
          <c:h val="0.59496208470476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19050</xdr:colOff>
      <xdr:row>12</xdr:row>
      <xdr:rowOff>3175</xdr:rowOff>
    </xdr:from>
    <xdr:to>
      <xdr:col>11</xdr:col>
      <xdr:colOff>19050</xdr:colOff>
      <xdr:row>21</xdr:row>
      <xdr:rowOff>12700</xdr:rowOff>
    </xdr:to>
    <xdr:graphicFrame macro="">
      <xdr:nvGraphicFramePr>
        <xdr:cNvPr id="2" name="Chart 1">
          <a:extLst>
            <a:ext uri="{FF2B5EF4-FFF2-40B4-BE49-F238E27FC236}">
              <a16:creationId xmlns:a16="http://schemas.microsoft.com/office/drawing/2014/main" id="{0742635B-3443-47C1-925E-738AF2FF9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25400</xdr:colOff>
      <xdr:row>22</xdr:row>
      <xdr:rowOff>9525</xdr:rowOff>
    </xdr:from>
    <xdr:to>
      <xdr:col>10</xdr:col>
      <xdr:colOff>603250</xdr:colOff>
      <xdr:row>35</xdr:row>
      <xdr:rowOff>6350</xdr:rowOff>
    </xdr:to>
    <xdr:graphicFrame macro="">
      <xdr:nvGraphicFramePr>
        <xdr:cNvPr id="4" name="Chart 3">
          <a:extLst>
            <a:ext uri="{FF2B5EF4-FFF2-40B4-BE49-F238E27FC236}">
              <a16:creationId xmlns:a16="http://schemas.microsoft.com/office/drawing/2014/main" id="{DB377C21-5401-E1C3-8FD0-F42C67623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12700</xdr:colOff>
      <xdr:row>36</xdr:row>
      <xdr:rowOff>171450</xdr:rowOff>
    </xdr:from>
    <xdr:to>
      <xdr:col>11</xdr:col>
      <xdr:colOff>6350</xdr:colOff>
      <xdr:row>49</xdr:row>
      <xdr:rowOff>165099</xdr:rowOff>
    </xdr:to>
    <xdr:graphicFrame macro="">
      <xdr:nvGraphicFramePr>
        <xdr:cNvPr id="5" name="Chart 4">
          <a:extLst>
            <a:ext uri="{FF2B5EF4-FFF2-40B4-BE49-F238E27FC236}">
              <a16:creationId xmlns:a16="http://schemas.microsoft.com/office/drawing/2014/main" id="{795D48D5-990E-5C0C-D389-0DA1A5D79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6350</xdr:colOff>
      <xdr:row>52</xdr:row>
      <xdr:rowOff>174625</xdr:rowOff>
    </xdr:from>
    <xdr:to>
      <xdr:col>11</xdr:col>
      <xdr:colOff>31750</xdr:colOff>
      <xdr:row>67</xdr:row>
      <xdr:rowOff>155575</xdr:rowOff>
    </xdr:to>
    <xdr:graphicFrame macro="">
      <xdr:nvGraphicFramePr>
        <xdr:cNvPr id="6" name="Chart 5">
          <a:extLst>
            <a:ext uri="{FF2B5EF4-FFF2-40B4-BE49-F238E27FC236}">
              <a16:creationId xmlns:a16="http://schemas.microsoft.com/office/drawing/2014/main" id="{257D5E3B-7BDD-F161-4713-6F9E14A4E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69</xdr:row>
      <xdr:rowOff>177799</xdr:rowOff>
    </xdr:from>
    <xdr:to>
      <xdr:col>11</xdr:col>
      <xdr:colOff>12700</xdr:colOff>
      <xdr:row>77</xdr:row>
      <xdr:rowOff>19050</xdr:rowOff>
    </xdr:to>
    <xdr:graphicFrame macro="">
      <xdr:nvGraphicFramePr>
        <xdr:cNvPr id="7" name="Chart 6">
          <a:extLst>
            <a:ext uri="{FF2B5EF4-FFF2-40B4-BE49-F238E27FC236}">
              <a16:creationId xmlns:a16="http://schemas.microsoft.com/office/drawing/2014/main" id="{BC885878-4178-0050-55F4-3AF81EA6E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476250</xdr:colOff>
      <xdr:row>53</xdr:row>
      <xdr:rowOff>76200</xdr:rowOff>
    </xdr:from>
    <xdr:to>
      <xdr:col>14</xdr:col>
      <xdr:colOff>476250</xdr:colOff>
      <xdr:row>67</xdr:row>
      <xdr:rowOff>22225</xdr:rowOff>
    </xdr:to>
    <mc:AlternateContent xmlns:mc="http://schemas.openxmlformats.org/markup-compatibility/2006" xmlns:a14="http://schemas.microsoft.com/office/drawing/2010/main">
      <mc:Choice Requires="a14">
        <xdr:graphicFrame macro="">
          <xdr:nvGraphicFramePr>
            <xdr:cNvPr id="8" name="Industry">
              <a:extLst>
                <a:ext uri="{FF2B5EF4-FFF2-40B4-BE49-F238E27FC236}">
                  <a16:creationId xmlns:a16="http://schemas.microsoft.com/office/drawing/2014/main" id="{326AFF10-069D-059E-3379-CE129DF1A1FA}"/>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8045450" y="986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603250</xdr:colOff>
      <xdr:row>53</xdr:row>
      <xdr:rowOff>19050</xdr:rowOff>
    </xdr:from>
    <xdr:to>
      <xdr:col>17</xdr:col>
      <xdr:colOff>603250</xdr:colOff>
      <xdr:row>66</xdr:row>
      <xdr:rowOff>149225</xdr:rowOff>
    </xdr:to>
    <mc:AlternateContent xmlns:mc="http://schemas.openxmlformats.org/markup-compatibility/2006" xmlns:a14="http://schemas.microsoft.com/office/drawing/2010/main">
      <mc:Choice Requires="a14">
        <xdr:graphicFrame macro="">
          <xdr:nvGraphicFramePr>
            <xdr:cNvPr id="9" name="City ">
              <a:extLst>
                <a:ext uri="{FF2B5EF4-FFF2-40B4-BE49-F238E27FC236}">
                  <a16:creationId xmlns:a16="http://schemas.microsoft.com/office/drawing/2014/main" id="{6BB7FDDD-F07C-C89B-5094-CC83DA786D66}"/>
                </a:ext>
              </a:extLst>
            </xdr:cNvPr>
            <xdr:cNvGraphicFramePr/>
          </xdr:nvGraphicFramePr>
          <xdr:xfrm>
            <a:off x="0" y="0"/>
            <a:ext cx="0" cy="0"/>
          </xdr:xfrm>
          <a:graphic>
            <a:graphicData uri="http://schemas.microsoft.com/office/drawing/2010/slicer">
              <sle:slicer xmlns:sle="http://schemas.microsoft.com/office/drawing/2010/slicer" name="City "/>
            </a:graphicData>
          </a:graphic>
        </xdr:graphicFrame>
      </mc:Choice>
      <mc:Fallback xmlns="">
        <xdr:sp macro="" textlink="">
          <xdr:nvSpPr>
            <xdr:cNvPr id="0" name=""/>
            <xdr:cNvSpPr>
              <a:spLocks noTextEdit="1"/>
            </xdr:cNvSpPr>
          </xdr:nvSpPr>
          <xdr:spPr>
            <a:xfrm>
              <a:off x="10001250" y="9804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44450</xdr:colOff>
      <xdr:row>52</xdr:row>
      <xdr:rowOff>165100</xdr:rowOff>
    </xdr:from>
    <xdr:to>
      <xdr:col>21</xdr:col>
      <xdr:colOff>44450</xdr:colOff>
      <xdr:row>66</xdr:row>
      <xdr:rowOff>111125</xdr:rowOff>
    </xdr:to>
    <mc:AlternateContent xmlns:mc="http://schemas.openxmlformats.org/markup-compatibility/2006" xmlns:a14="http://schemas.microsoft.com/office/drawing/2010/main">
      <mc:Choice Requires="a14">
        <xdr:graphicFrame macro="">
          <xdr:nvGraphicFramePr>
            <xdr:cNvPr id="10" name="Salesperson">
              <a:extLst>
                <a:ext uri="{FF2B5EF4-FFF2-40B4-BE49-F238E27FC236}">
                  <a16:creationId xmlns:a16="http://schemas.microsoft.com/office/drawing/2014/main" id="{875EA501-78F1-9635-F6A9-F86996962EF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880850" y="9766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133350</xdr:colOff>
      <xdr:row>9</xdr:row>
      <xdr:rowOff>69851</xdr:rowOff>
    </xdr:from>
    <xdr:to>
      <xdr:col>14</xdr:col>
      <xdr:colOff>133350</xdr:colOff>
      <xdr:row>21</xdr:row>
      <xdr:rowOff>63501</xdr:rowOff>
    </xdr:to>
    <mc:AlternateContent xmlns:mc="http://schemas.openxmlformats.org/markup-compatibility/2006" xmlns:a14="http://schemas.microsoft.com/office/drawing/2010/main">
      <mc:Choice Requires="a14">
        <xdr:graphicFrame macro="">
          <xdr:nvGraphicFramePr>
            <xdr:cNvPr id="11" name="Lead Status">
              <a:extLst>
                <a:ext uri="{FF2B5EF4-FFF2-40B4-BE49-F238E27FC236}">
                  <a16:creationId xmlns:a16="http://schemas.microsoft.com/office/drawing/2014/main" id="{3EAF4D65-1A9B-84A5-EF2E-DBE4D26971ED}"/>
                </a:ext>
              </a:extLst>
            </xdr:cNvPr>
            <xdr:cNvGraphicFramePr/>
          </xdr:nvGraphicFramePr>
          <xdr:xfrm>
            <a:off x="0" y="0"/>
            <a:ext cx="0" cy="0"/>
          </xdr:xfrm>
          <a:graphic>
            <a:graphicData uri="http://schemas.microsoft.com/office/drawing/2010/slicer">
              <sle:slicer xmlns:sle="http://schemas.microsoft.com/office/drawing/2010/slicer" name="Lead Status"/>
            </a:graphicData>
          </a:graphic>
        </xdr:graphicFrame>
      </mc:Choice>
      <mc:Fallback xmlns="">
        <xdr:sp macro="" textlink="">
          <xdr:nvSpPr>
            <xdr:cNvPr id="0" name=""/>
            <xdr:cNvSpPr>
              <a:spLocks noTextEdit="1"/>
            </xdr:cNvSpPr>
          </xdr:nvSpPr>
          <xdr:spPr>
            <a:xfrm>
              <a:off x="7702550" y="1746251"/>
              <a:ext cx="18288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406400</xdr:colOff>
      <xdr:row>10</xdr:row>
      <xdr:rowOff>44451</xdr:rowOff>
    </xdr:from>
    <xdr:to>
      <xdr:col>17</xdr:col>
      <xdr:colOff>406400</xdr:colOff>
      <xdr:row>19</xdr:row>
      <xdr:rowOff>177801</xdr:rowOff>
    </xdr:to>
    <mc:AlternateContent xmlns:mc="http://schemas.openxmlformats.org/markup-compatibility/2006" xmlns:a14="http://schemas.microsoft.com/office/drawing/2010/main">
      <mc:Choice Requires="a14">
        <xdr:graphicFrame macro="">
          <xdr:nvGraphicFramePr>
            <xdr:cNvPr id="12" name="Source">
              <a:extLst>
                <a:ext uri="{FF2B5EF4-FFF2-40B4-BE49-F238E27FC236}">
                  <a16:creationId xmlns:a16="http://schemas.microsoft.com/office/drawing/2014/main" id="{D02576AF-2E01-C21A-0D44-E7C7332AED0D}"/>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9804400" y="191135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127000</xdr:colOff>
      <xdr:row>13</xdr:row>
      <xdr:rowOff>1</xdr:rowOff>
    </xdr:from>
    <xdr:to>
      <xdr:col>21</xdr:col>
      <xdr:colOff>127000</xdr:colOff>
      <xdr:row>20</xdr:row>
      <xdr:rowOff>88901</xdr:rowOff>
    </xdr:to>
    <mc:AlternateContent xmlns:mc="http://schemas.openxmlformats.org/markup-compatibility/2006" xmlns:a14="http://schemas.microsoft.com/office/drawing/2010/main">
      <mc:Choice Requires="a14">
        <xdr:graphicFrame macro="">
          <xdr:nvGraphicFramePr>
            <xdr:cNvPr id="13" name="Priority">
              <a:extLst>
                <a:ext uri="{FF2B5EF4-FFF2-40B4-BE49-F238E27FC236}">
                  <a16:creationId xmlns:a16="http://schemas.microsoft.com/office/drawing/2014/main" id="{07DA415A-CA6A-B04E-336F-53DEA13C473B}"/>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11963400" y="2419351"/>
              <a:ext cx="1828800" cy="1377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285750</xdr:colOff>
      <xdr:row>36</xdr:row>
      <xdr:rowOff>50800</xdr:rowOff>
    </xdr:from>
    <xdr:to>
      <xdr:col>14</xdr:col>
      <xdr:colOff>285750</xdr:colOff>
      <xdr:row>49</xdr:row>
      <xdr:rowOff>180975</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02B55652-4174-1C44-C0C3-4DEE8FCF488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854950" y="6705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349250</xdr:colOff>
      <xdr:row>36</xdr:row>
      <xdr:rowOff>38100</xdr:rowOff>
    </xdr:from>
    <xdr:to>
      <xdr:col>17</xdr:col>
      <xdr:colOff>349250</xdr:colOff>
      <xdr:row>49</xdr:row>
      <xdr:rowOff>168275</xdr:rowOff>
    </xdr:to>
    <mc:AlternateContent xmlns:mc="http://schemas.openxmlformats.org/markup-compatibility/2006" xmlns:a14="http://schemas.microsoft.com/office/drawing/2010/main">
      <mc:Choice Requires="a14">
        <xdr:graphicFrame macro="">
          <xdr:nvGraphicFramePr>
            <xdr:cNvPr id="15" name="Stage">
              <a:extLst>
                <a:ext uri="{FF2B5EF4-FFF2-40B4-BE49-F238E27FC236}">
                  <a16:creationId xmlns:a16="http://schemas.microsoft.com/office/drawing/2014/main" id="{3751817F-5A9E-9628-04AD-595CC74CDCC0}"/>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9747250" y="6692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70</xdr:row>
      <xdr:rowOff>31751</xdr:rowOff>
    </xdr:from>
    <xdr:to>
      <xdr:col>15</xdr:col>
      <xdr:colOff>285750</xdr:colOff>
      <xdr:row>76</xdr:row>
      <xdr:rowOff>152401</xdr:rowOff>
    </xdr:to>
    <mc:AlternateContent xmlns:mc="http://schemas.openxmlformats.org/markup-compatibility/2006" xmlns:a14="http://schemas.microsoft.com/office/drawing/2010/main">
      <mc:Choice Requires="a14">
        <xdr:graphicFrame macro="">
          <xdr:nvGraphicFramePr>
            <xdr:cNvPr id="16" name="Status">
              <a:extLst>
                <a:ext uri="{FF2B5EF4-FFF2-40B4-BE49-F238E27FC236}">
                  <a16:creationId xmlns:a16="http://schemas.microsoft.com/office/drawing/2014/main" id="{7EE0D46F-A093-58A5-75B9-871E0CEF1E0E}"/>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464550" y="12947651"/>
              <a:ext cx="182880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158750</xdr:colOff>
      <xdr:row>22</xdr:row>
      <xdr:rowOff>12700</xdr:rowOff>
    </xdr:from>
    <xdr:to>
      <xdr:col>14</xdr:col>
      <xdr:colOff>158750</xdr:colOff>
      <xdr:row>35</xdr:row>
      <xdr:rowOff>114299</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DAAFDD56-7521-BA07-5E0C-3893110C66D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727950" y="4089400"/>
              <a:ext cx="1828800" cy="2495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406400</xdr:colOff>
      <xdr:row>22</xdr:row>
      <xdr:rowOff>1</xdr:rowOff>
    </xdr:from>
    <xdr:to>
      <xdr:col>17</xdr:col>
      <xdr:colOff>406400</xdr:colOff>
      <xdr:row>33</xdr:row>
      <xdr:rowOff>69851</xdr:rowOff>
    </xdr:to>
    <mc:AlternateContent xmlns:mc="http://schemas.openxmlformats.org/markup-compatibility/2006" xmlns:a14="http://schemas.microsoft.com/office/drawing/2010/main">
      <mc:Choice Requires="a14">
        <xdr:graphicFrame macro="">
          <xdr:nvGraphicFramePr>
            <xdr:cNvPr id="18" name="Stage 1">
              <a:extLst>
                <a:ext uri="{FF2B5EF4-FFF2-40B4-BE49-F238E27FC236}">
                  <a16:creationId xmlns:a16="http://schemas.microsoft.com/office/drawing/2014/main" id="{8BBADC71-340D-80BD-B70E-FDC1778F01C2}"/>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9804400" y="407670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08.888529282405" createdVersion="8" refreshedVersion="8" minRefreshableVersion="3" recordCount="50" xr:uid="{F6851D7A-5FB7-4C41-B7DE-6A5E67D1568D}">
  <cacheSource type="worksheet">
    <worksheetSource ref="A1:G51" sheet="Leads"/>
  </cacheSource>
  <cacheFields count="7">
    <cacheField name="Lead ID" numFmtId="0">
      <sharedItems/>
    </cacheField>
    <cacheField name="Customer ID" numFmtId="0">
      <sharedItems/>
    </cacheField>
    <cacheField name="Lead Status" numFmtId="0">
      <sharedItems count="7">
        <s v="Contacted"/>
        <s v="Qualified"/>
        <s v="New"/>
        <s v="Lost"/>
        <s v="Proposal Sent"/>
        <s v="Won"/>
        <s v="Negotiation"/>
      </sharedItems>
    </cacheField>
    <cacheField name="Source" numFmtId="0">
      <sharedItems count="5">
        <s v="Website"/>
        <s v="Email"/>
        <s v="LinkedIn"/>
        <s v="Referral"/>
        <s v="Cold Call"/>
      </sharedItems>
    </cacheField>
    <cacheField name="Expected Revenue" numFmtId="164">
      <sharedItems containsSemiMixedTypes="0" containsString="0" containsNumber="1" containsInteger="1" minValue="66535" maxValue="954597"/>
    </cacheField>
    <cacheField name="Priority" numFmtId="0">
      <sharedItems count="3">
        <s v="Medium"/>
        <s v="High"/>
        <s v="Low"/>
      </sharedItems>
    </cacheField>
    <cacheField name="Created Date" numFmtId="14">
      <sharedItems containsSemiMixedTypes="0" containsNonDate="0" containsDate="1" containsString="0" minDate="2026-01-10T00:00:00" maxDate="2026-12-23T00:00:00"/>
    </cacheField>
  </cacheFields>
  <extLst>
    <ext xmlns:x14="http://schemas.microsoft.com/office/spreadsheetml/2009/9/main" uri="{725AE2AE-9491-48be-B2B4-4EB974FC3084}">
      <x14:pivotCacheDefinition pivotCacheId="13234509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08.892069675923" createdVersion="8" refreshedVersion="8" minRefreshableVersion="3" recordCount="30" xr:uid="{3FCBC175-92D5-4494-9328-B51480FBA9E3}">
  <cacheSource type="worksheet">
    <worksheetSource ref="A1:G31" sheet="Opportunities"/>
  </cacheSource>
  <cacheFields count="7">
    <cacheField name="Opportunity ID" numFmtId="0">
      <sharedItems/>
    </cacheField>
    <cacheField name="Customer ID" numFmtId="0">
      <sharedItems/>
    </cacheField>
    <cacheField name="Product" numFmtId="0">
      <sharedItems count="8">
        <s v="AI Chatbot"/>
        <s v="Data Analytics"/>
        <s v="Cyber Security"/>
        <s v="HRMS"/>
        <s v="Cloud Hosting"/>
        <s v="Inventory System"/>
        <s v="CRM Software"/>
        <s v="ERP System"/>
      </sharedItems>
    </cacheField>
    <cacheField name="Amount" numFmtId="164">
      <sharedItems containsSemiMixedTypes="0" containsString="0" containsNumber="1" containsInteger="1" minValue="392628" maxValue="1977740"/>
    </cacheField>
    <cacheField name="Probability (%)" numFmtId="0">
      <sharedItems containsSemiMixedTypes="0" containsString="0" containsNumber="1" containsInteger="1" minValue="15" maxValue="98"/>
    </cacheField>
    <cacheField name="Closing Date" numFmtId="14">
      <sharedItems containsSemiMixedTypes="0" containsNonDate="0" containsDate="1" containsString="0" minDate="2026-01-02T00:00:00" maxDate="2026-12-21T00:00:00"/>
    </cacheField>
    <cacheField name="Stage" numFmtId="0">
      <sharedItems count="5">
        <s v="Prospecting"/>
        <s v="Closed Lost"/>
        <s v="Closed Won"/>
        <s v="Negotiation"/>
        <s v="Proposal"/>
      </sharedItems>
    </cacheField>
  </cacheFields>
  <extLst>
    <ext xmlns:x14="http://schemas.microsoft.com/office/spreadsheetml/2009/9/main" uri="{725AE2AE-9491-48be-B2B4-4EB974FC3084}">
      <x14:pivotCacheDefinition pivotCacheId="62037312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08.895019097225" createdVersion="8" refreshedVersion="8" minRefreshableVersion="3" recordCount="40" xr:uid="{0EEDAF6C-6BF2-4EED-BE80-2C7046FB79D3}">
  <cacheSource type="worksheet">
    <worksheetSource ref="A1:H41" sheet="Customers"/>
  </cacheSource>
  <cacheFields count="8">
    <cacheField name="Customer ID" numFmtId="0">
      <sharedItems/>
    </cacheField>
    <cacheField name="Customer Name" numFmtId="0">
      <sharedItems/>
    </cacheField>
    <cacheField name="Company" numFmtId="0">
      <sharedItems/>
    </cacheField>
    <cacheField name="Industry" numFmtId="0">
      <sharedItems count="13">
        <s v="IT Services"/>
        <s v="Retail"/>
        <s v="Consulting"/>
        <s v="Technology"/>
        <s v="E-Commerce"/>
        <s v="Manufacturing"/>
        <s v="Telecommunications"/>
        <s v="FinTech"/>
        <s v="Software"/>
        <s v="Engineering"/>
        <s v="Semiconductors"/>
        <s v="Networking"/>
        <s v="Enterprise Software"/>
      </sharedItems>
    </cacheField>
    <cacheField name="Email" numFmtId="0">
      <sharedItems/>
    </cacheField>
    <cacheField name="Phone" numFmtId="0">
      <sharedItems/>
    </cacheField>
    <cacheField name="City " numFmtId="0">
      <sharedItems count="9">
        <s v="Gurgaon"/>
        <s v="Chennai"/>
        <s v="Noida"/>
        <s v="Pune"/>
        <s v="Kolkata"/>
        <s v="Delhi"/>
        <s v="Ahmedabad"/>
        <s v="Bangalore"/>
        <s v="Mumbai"/>
      </sharedItems>
    </cacheField>
    <cacheField name="Salesperson" numFmtId="0">
      <sharedItems count="6">
        <s v="Karan"/>
        <s v="Neha"/>
        <s v="Ankit"/>
        <s v="Sneha"/>
        <s v="Priya"/>
        <s v="Rahul"/>
      </sharedItems>
    </cacheField>
  </cacheFields>
  <extLst>
    <ext xmlns:x14="http://schemas.microsoft.com/office/spreadsheetml/2009/9/main" uri="{725AE2AE-9491-48be-B2B4-4EB974FC3084}">
      <x14:pivotCacheDefinition pivotCacheId="100411387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08.895915162037" createdVersion="8" refreshedVersion="8" minRefreshableVersion="3" recordCount="25" xr:uid="{C26CF373-386D-458E-A65D-2E2748147666}">
  <cacheSource type="worksheet">
    <worksheetSource ref="A1:F26" sheet="Follow-ups"/>
  </cacheSource>
  <cacheFields count="6">
    <cacheField name="Follow-Up ID" numFmtId="0">
      <sharedItems/>
    </cacheField>
    <cacheField name="Customer ID" numFmtId="0">
      <sharedItems/>
    </cacheField>
    <cacheField name="Follow-Up Date" numFmtId="14">
      <sharedItems containsSemiMixedTypes="0" containsNonDate="0" containsDate="1" containsString="0" minDate="2026-01-04T00:00:00" maxDate="2026-12-29T00:00:00"/>
    </cacheField>
    <cacheField name="Next Follow-Up" numFmtId="14">
      <sharedItems containsSemiMixedTypes="0" containsNonDate="0" containsDate="1" containsString="0" minDate="2026-01-11T00:00:00" maxDate="2027-01-07T00:00:00"/>
    </cacheField>
    <cacheField name="Notes" numFmtId="0">
      <sharedItems/>
    </cacheField>
    <cacheField name="Status" numFmtId="0">
      <sharedItems count="3">
        <s v="Completed"/>
        <s v="Pending"/>
        <s v="Cancelled"/>
      </sharedItems>
    </cacheField>
  </cacheFields>
  <extLst>
    <ext xmlns:x14="http://schemas.microsoft.com/office/spreadsheetml/2009/9/main" uri="{725AE2AE-9491-48be-B2B4-4EB974FC3084}">
      <x14:pivotCacheDefinition pivotCacheId="1580477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L001"/>
    <s v="C037"/>
    <x v="0"/>
    <x v="0"/>
    <n v="787444"/>
    <x v="0"/>
    <d v="2026-06-28T00:00:00"/>
  </r>
  <r>
    <s v="L002"/>
    <s v="C025"/>
    <x v="1"/>
    <x v="1"/>
    <n v="709978"/>
    <x v="1"/>
    <d v="2026-08-12T00:00:00"/>
  </r>
  <r>
    <s v="L003"/>
    <s v="C032"/>
    <x v="0"/>
    <x v="2"/>
    <n v="783705"/>
    <x v="2"/>
    <d v="2026-03-10T00:00:00"/>
  </r>
  <r>
    <s v="L004"/>
    <s v="C004"/>
    <x v="2"/>
    <x v="1"/>
    <n v="414696"/>
    <x v="0"/>
    <d v="2026-04-23T00:00:00"/>
  </r>
  <r>
    <s v="L005"/>
    <s v="C001"/>
    <x v="3"/>
    <x v="1"/>
    <n v="954597"/>
    <x v="2"/>
    <d v="2026-09-09T00:00:00"/>
  </r>
  <r>
    <s v="L006"/>
    <s v="C025"/>
    <x v="4"/>
    <x v="1"/>
    <n v="764936"/>
    <x v="2"/>
    <d v="2026-01-11T00:00:00"/>
  </r>
  <r>
    <s v="L007"/>
    <s v="C018"/>
    <x v="0"/>
    <x v="3"/>
    <n v="154903"/>
    <x v="0"/>
    <d v="2026-09-05T00:00:00"/>
  </r>
  <r>
    <s v="L008"/>
    <s v="C013"/>
    <x v="3"/>
    <x v="4"/>
    <n v="410356"/>
    <x v="2"/>
    <d v="2026-11-15T00:00:00"/>
  </r>
  <r>
    <s v="L009"/>
    <s v="C030"/>
    <x v="3"/>
    <x v="4"/>
    <n v="260515"/>
    <x v="1"/>
    <d v="2026-06-18T00:00:00"/>
  </r>
  <r>
    <s v="L010"/>
    <s v="C011"/>
    <x v="5"/>
    <x v="3"/>
    <n v="524252"/>
    <x v="2"/>
    <d v="2026-07-21T00:00:00"/>
  </r>
  <r>
    <s v="L011"/>
    <s v="C032"/>
    <x v="4"/>
    <x v="3"/>
    <n v="641217"/>
    <x v="2"/>
    <d v="2026-06-12T00:00:00"/>
  </r>
  <r>
    <s v="L012"/>
    <s v="C040"/>
    <x v="3"/>
    <x v="3"/>
    <n v="179377"/>
    <x v="0"/>
    <d v="2026-06-10T00:00:00"/>
  </r>
  <r>
    <s v="L013"/>
    <s v="C021"/>
    <x v="1"/>
    <x v="3"/>
    <n v="823203"/>
    <x v="1"/>
    <d v="2026-07-16T00:00:00"/>
  </r>
  <r>
    <s v="L014"/>
    <s v="C017"/>
    <x v="6"/>
    <x v="1"/>
    <n v="942450"/>
    <x v="0"/>
    <d v="2026-05-23T00:00:00"/>
  </r>
  <r>
    <s v="L015"/>
    <s v="C013"/>
    <x v="4"/>
    <x v="1"/>
    <n v="565145"/>
    <x v="1"/>
    <d v="2026-06-27T00:00:00"/>
  </r>
  <r>
    <s v="L016"/>
    <s v="C038"/>
    <x v="1"/>
    <x v="3"/>
    <n v="840824"/>
    <x v="2"/>
    <d v="2026-02-01T00:00:00"/>
  </r>
  <r>
    <s v="L017"/>
    <s v="C022"/>
    <x v="5"/>
    <x v="3"/>
    <n v="556974"/>
    <x v="0"/>
    <d v="2026-05-19T00:00:00"/>
  </r>
  <r>
    <s v="L018"/>
    <s v="C038"/>
    <x v="6"/>
    <x v="2"/>
    <n v="186186"/>
    <x v="1"/>
    <d v="2026-05-05T00:00:00"/>
  </r>
  <r>
    <s v="L019"/>
    <s v="C021"/>
    <x v="0"/>
    <x v="4"/>
    <n v="788803"/>
    <x v="0"/>
    <d v="2026-08-28T00:00:00"/>
  </r>
  <r>
    <s v="L020"/>
    <s v="C014"/>
    <x v="6"/>
    <x v="4"/>
    <n v="217125"/>
    <x v="1"/>
    <d v="2026-05-14T00:00:00"/>
  </r>
  <r>
    <s v="L021"/>
    <s v="C008"/>
    <x v="3"/>
    <x v="4"/>
    <n v="609838"/>
    <x v="1"/>
    <d v="2026-01-23T00:00:00"/>
  </r>
  <r>
    <s v="L022"/>
    <s v="C036"/>
    <x v="5"/>
    <x v="0"/>
    <n v="344837"/>
    <x v="1"/>
    <d v="2026-09-10T00:00:00"/>
  </r>
  <r>
    <s v="L023"/>
    <s v="C032"/>
    <x v="1"/>
    <x v="0"/>
    <n v="84518"/>
    <x v="1"/>
    <d v="2026-01-25T00:00:00"/>
  </r>
  <r>
    <s v="L024"/>
    <s v="C032"/>
    <x v="3"/>
    <x v="1"/>
    <n v="167538"/>
    <x v="0"/>
    <d v="2026-05-20T00:00:00"/>
  </r>
  <r>
    <s v="L025"/>
    <s v="C027"/>
    <x v="0"/>
    <x v="2"/>
    <n v="269118"/>
    <x v="1"/>
    <d v="2026-01-14T00:00:00"/>
  </r>
  <r>
    <s v="L026"/>
    <s v="C003"/>
    <x v="0"/>
    <x v="4"/>
    <n v="283859"/>
    <x v="0"/>
    <d v="2026-01-10T00:00:00"/>
  </r>
  <r>
    <s v="L027"/>
    <s v="C023"/>
    <x v="6"/>
    <x v="2"/>
    <n v="460297"/>
    <x v="1"/>
    <d v="2026-09-27T00:00:00"/>
  </r>
  <r>
    <s v="L028"/>
    <s v="C013"/>
    <x v="6"/>
    <x v="3"/>
    <n v="124880"/>
    <x v="2"/>
    <d v="2026-04-25T00:00:00"/>
  </r>
  <r>
    <s v="L029"/>
    <s v="C019"/>
    <x v="6"/>
    <x v="1"/>
    <n v="453150"/>
    <x v="0"/>
    <d v="2026-12-12T00:00:00"/>
  </r>
  <r>
    <s v="L030"/>
    <s v="C003"/>
    <x v="3"/>
    <x v="0"/>
    <n v="590650"/>
    <x v="1"/>
    <d v="2026-03-05T00:00:00"/>
  </r>
  <r>
    <s v="L031"/>
    <s v="C025"/>
    <x v="5"/>
    <x v="1"/>
    <n v="651179"/>
    <x v="1"/>
    <d v="2026-03-28T00:00:00"/>
  </r>
  <r>
    <s v="L032"/>
    <s v="C008"/>
    <x v="3"/>
    <x v="0"/>
    <n v="206962"/>
    <x v="2"/>
    <d v="2026-11-22T00:00:00"/>
  </r>
  <r>
    <s v="L033"/>
    <s v="C040"/>
    <x v="1"/>
    <x v="0"/>
    <n v="647971"/>
    <x v="0"/>
    <d v="2026-03-02T00:00:00"/>
  </r>
  <r>
    <s v="L034"/>
    <s v="C037"/>
    <x v="5"/>
    <x v="4"/>
    <n v="108055"/>
    <x v="2"/>
    <d v="2026-11-14T00:00:00"/>
  </r>
  <r>
    <s v="L035"/>
    <s v="C004"/>
    <x v="6"/>
    <x v="2"/>
    <n v="646477"/>
    <x v="2"/>
    <d v="2026-12-06T00:00:00"/>
  </r>
  <r>
    <s v="L036"/>
    <s v="C003"/>
    <x v="0"/>
    <x v="4"/>
    <n v="575655"/>
    <x v="1"/>
    <d v="2026-09-21T00:00:00"/>
  </r>
  <r>
    <s v="L037"/>
    <s v="C031"/>
    <x v="3"/>
    <x v="0"/>
    <n v="373311"/>
    <x v="2"/>
    <d v="2026-08-22T00:00:00"/>
  </r>
  <r>
    <s v="L038"/>
    <s v="C016"/>
    <x v="4"/>
    <x v="2"/>
    <n v="389634"/>
    <x v="1"/>
    <d v="2026-05-10T00:00:00"/>
  </r>
  <r>
    <s v="L039"/>
    <s v="C029"/>
    <x v="1"/>
    <x v="1"/>
    <n v="203443"/>
    <x v="0"/>
    <d v="2026-09-11T00:00:00"/>
  </r>
  <r>
    <s v="L040"/>
    <s v="C034"/>
    <x v="5"/>
    <x v="2"/>
    <n v="538912"/>
    <x v="0"/>
    <d v="2026-12-21T00:00:00"/>
  </r>
  <r>
    <s v="L041"/>
    <s v="C007"/>
    <x v="2"/>
    <x v="2"/>
    <n v="346983"/>
    <x v="1"/>
    <d v="2026-08-17T00:00:00"/>
  </r>
  <r>
    <s v="L042"/>
    <s v="C035"/>
    <x v="1"/>
    <x v="2"/>
    <n v="449074"/>
    <x v="0"/>
    <d v="2026-10-03T00:00:00"/>
  </r>
  <r>
    <s v="L043"/>
    <s v="C020"/>
    <x v="4"/>
    <x v="4"/>
    <n v="821161"/>
    <x v="1"/>
    <d v="2026-06-21T00:00:00"/>
  </r>
  <r>
    <s v="L044"/>
    <s v="C032"/>
    <x v="4"/>
    <x v="4"/>
    <n v="105629"/>
    <x v="0"/>
    <d v="2026-02-03T00:00:00"/>
  </r>
  <r>
    <s v="L045"/>
    <s v="C027"/>
    <x v="0"/>
    <x v="3"/>
    <n v="235738"/>
    <x v="2"/>
    <d v="2026-12-22T00:00:00"/>
  </r>
  <r>
    <s v="L046"/>
    <s v="C002"/>
    <x v="0"/>
    <x v="2"/>
    <n v="570527"/>
    <x v="2"/>
    <d v="2026-10-12T00:00:00"/>
  </r>
  <r>
    <s v="L047"/>
    <s v="C003"/>
    <x v="4"/>
    <x v="2"/>
    <n v="84350"/>
    <x v="0"/>
    <d v="2026-05-12T00:00:00"/>
  </r>
  <r>
    <s v="L048"/>
    <s v="C020"/>
    <x v="1"/>
    <x v="4"/>
    <n v="659496"/>
    <x v="2"/>
    <d v="2026-05-28T00:00:00"/>
  </r>
  <r>
    <s v="L049"/>
    <s v="C025"/>
    <x v="0"/>
    <x v="3"/>
    <n v="76128"/>
    <x v="2"/>
    <d v="2026-10-24T00:00:00"/>
  </r>
  <r>
    <s v="L050"/>
    <s v="C036"/>
    <x v="2"/>
    <x v="1"/>
    <n v="66535"/>
    <x v="2"/>
    <d v="2026-08-02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O001"/>
    <s v="C028"/>
    <x v="0"/>
    <n v="1977740"/>
    <n v="90"/>
    <d v="2026-02-14T00:00:00"/>
    <x v="0"/>
  </r>
  <r>
    <s v="O002"/>
    <s v="C008"/>
    <x v="1"/>
    <n v="1266357"/>
    <n v="48"/>
    <d v="2026-08-26T00:00:00"/>
    <x v="1"/>
  </r>
  <r>
    <s v="O003"/>
    <s v="C010"/>
    <x v="2"/>
    <n v="1788799"/>
    <n v="98"/>
    <d v="2026-10-27T00:00:00"/>
    <x v="2"/>
  </r>
  <r>
    <s v="O004"/>
    <s v="C040"/>
    <x v="3"/>
    <n v="1078589"/>
    <n v="55"/>
    <d v="2026-11-25T00:00:00"/>
    <x v="0"/>
  </r>
  <r>
    <s v="O005"/>
    <s v="C025"/>
    <x v="3"/>
    <n v="956441"/>
    <n v="79"/>
    <d v="2026-02-12T00:00:00"/>
    <x v="3"/>
  </r>
  <r>
    <s v="O006"/>
    <s v="C022"/>
    <x v="2"/>
    <n v="1929739"/>
    <n v="17"/>
    <d v="2026-02-03T00:00:00"/>
    <x v="4"/>
  </r>
  <r>
    <s v="O007"/>
    <s v="C018"/>
    <x v="3"/>
    <n v="784172"/>
    <n v="58"/>
    <d v="2026-03-04T00:00:00"/>
    <x v="1"/>
  </r>
  <r>
    <s v="O008"/>
    <s v="C024"/>
    <x v="1"/>
    <n v="796882"/>
    <n v="34"/>
    <d v="2026-12-20T00:00:00"/>
    <x v="4"/>
  </r>
  <r>
    <s v="O009"/>
    <s v="C006"/>
    <x v="1"/>
    <n v="507200"/>
    <n v="29"/>
    <d v="2026-05-02T00:00:00"/>
    <x v="4"/>
  </r>
  <r>
    <s v="O010"/>
    <s v="C032"/>
    <x v="3"/>
    <n v="1964869"/>
    <n v="92"/>
    <d v="2026-07-23T00:00:00"/>
    <x v="0"/>
  </r>
  <r>
    <s v="O011"/>
    <s v="C013"/>
    <x v="4"/>
    <n v="518405"/>
    <n v="82"/>
    <d v="2026-11-18T00:00:00"/>
    <x v="1"/>
  </r>
  <r>
    <s v="O012"/>
    <s v="C023"/>
    <x v="1"/>
    <n v="1303718"/>
    <n v="76"/>
    <d v="2026-09-07T00:00:00"/>
    <x v="1"/>
  </r>
  <r>
    <s v="O013"/>
    <s v="C039"/>
    <x v="5"/>
    <n v="789721"/>
    <n v="52"/>
    <d v="2026-12-07T00:00:00"/>
    <x v="4"/>
  </r>
  <r>
    <s v="O014"/>
    <s v="C004"/>
    <x v="6"/>
    <n v="1697727"/>
    <n v="93"/>
    <d v="2026-08-25T00:00:00"/>
    <x v="3"/>
  </r>
  <r>
    <s v="O015"/>
    <s v="C029"/>
    <x v="0"/>
    <n v="1731494"/>
    <n v="46"/>
    <d v="2026-06-13T00:00:00"/>
    <x v="4"/>
  </r>
  <r>
    <s v="O016"/>
    <s v="C009"/>
    <x v="6"/>
    <n v="964529"/>
    <n v="85"/>
    <d v="2026-02-22T00:00:00"/>
    <x v="1"/>
  </r>
  <r>
    <s v="O017"/>
    <s v="C019"/>
    <x v="5"/>
    <n v="466359"/>
    <n v="84"/>
    <d v="2026-03-25T00:00:00"/>
    <x v="3"/>
  </r>
  <r>
    <s v="O018"/>
    <s v="C022"/>
    <x v="3"/>
    <n v="392628"/>
    <n v="23"/>
    <d v="2026-10-18T00:00:00"/>
    <x v="0"/>
  </r>
  <r>
    <s v="O019"/>
    <s v="C024"/>
    <x v="7"/>
    <n v="1825370"/>
    <n v="83"/>
    <d v="2026-03-10T00:00:00"/>
    <x v="0"/>
  </r>
  <r>
    <s v="O020"/>
    <s v="C027"/>
    <x v="5"/>
    <n v="1684342"/>
    <n v="67"/>
    <d v="2026-06-05T00:00:00"/>
    <x v="0"/>
  </r>
  <r>
    <s v="O021"/>
    <s v="C008"/>
    <x v="4"/>
    <n v="1283954"/>
    <n v="35"/>
    <d v="2026-11-11T00:00:00"/>
    <x v="4"/>
  </r>
  <r>
    <s v="O022"/>
    <s v="C005"/>
    <x v="3"/>
    <n v="1930180"/>
    <n v="15"/>
    <d v="2026-05-27T00:00:00"/>
    <x v="0"/>
  </r>
  <r>
    <s v="O023"/>
    <s v="C030"/>
    <x v="7"/>
    <n v="1206046"/>
    <n v="54"/>
    <d v="2026-09-03T00:00:00"/>
    <x v="1"/>
  </r>
  <r>
    <s v="O024"/>
    <s v="C011"/>
    <x v="3"/>
    <n v="1884998"/>
    <n v="78"/>
    <d v="2026-04-27T00:00:00"/>
    <x v="0"/>
  </r>
  <r>
    <s v="O025"/>
    <s v="C021"/>
    <x v="6"/>
    <n v="1048843"/>
    <n v="64"/>
    <d v="2026-03-17T00:00:00"/>
    <x v="2"/>
  </r>
  <r>
    <s v="O026"/>
    <s v="C035"/>
    <x v="7"/>
    <n v="1382849"/>
    <n v="63"/>
    <d v="2026-11-24T00:00:00"/>
    <x v="4"/>
  </r>
  <r>
    <s v="O027"/>
    <s v="C030"/>
    <x v="5"/>
    <n v="458394"/>
    <n v="70"/>
    <d v="2026-01-02T00:00:00"/>
    <x v="1"/>
  </r>
  <r>
    <s v="O028"/>
    <s v="C029"/>
    <x v="4"/>
    <n v="930098"/>
    <n v="59"/>
    <d v="2026-11-15T00:00:00"/>
    <x v="1"/>
  </r>
  <r>
    <s v="O029"/>
    <s v="C006"/>
    <x v="6"/>
    <n v="1649521"/>
    <n v="65"/>
    <d v="2026-01-24T00:00:00"/>
    <x v="3"/>
  </r>
  <r>
    <s v="O030"/>
    <s v="C001"/>
    <x v="3"/>
    <n v="1579990"/>
    <n v="90"/>
    <d v="2026-11-01T00:00:0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C001"/>
    <s v="Rahul Sharma"/>
    <s v="ABC Pvt Ltd"/>
    <x v="0"/>
    <s v="rahul.sharma@gmail.com"/>
    <s v="7295065228"/>
    <x v="0"/>
    <x v="0"/>
  </r>
  <r>
    <s v="C002"/>
    <s v="Priya Patel"/>
    <s v="XYZ Ltd"/>
    <x v="1"/>
    <s v="priya.patel@gmail.com"/>
    <s v="8128294463"/>
    <x v="1"/>
    <x v="1"/>
  </r>
  <r>
    <s v="C003"/>
    <s v="John Thomas"/>
    <s v="Infosys"/>
    <x v="0"/>
    <s v="john.thomas@gmail.com"/>
    <s v="6569394081"/>
    <x v="2"/>
    <x v="2"/>
  </r>
  <r>
    <s v="C004"/>
    <s v="Sneha Reddy"/>
    <s v="TCS"/>
    <x v="0"/>
    <s v="sneha.reddy@gmail.com"/>
    <s v="9316165576"/>
    <x v="3"/>
    <x v="3"/>
  </r>
  <r>
    <s v="C005"/>
    <s v="Arjun Kumar"/>
    <s v="Wipro"/>
    <x v="0"/>
    <s v="arjun.kumar@gmail.com"/>
    <s v="7100393433"/>
    <x v="3"/>
    <x v="4"/>
  </r>
  <r>
    <s v="C006"/>
    <s v="Ananya Singh"/>
    <s v="Flipkart"/>
    <x v="0"/>
    <s v="ananya.singh@gmail.com"/>
    <s v="8360506364"/>
    <x v="1"/>
    <x v="4"/>
  </r>
  <r>
    <s v="C007"/>
    <s v="Rohit Verma"/>
    <s v="Amazon"/>
    <x v="0"/>
    <s v="rohit.verma@gmail.com"/>
    <s v="6836918603"/>
    <x v="0"/>
    <x v="2"/>
  </r>
  <r>
    <s v="C008"/>
    <s v="Kiran Rao"/>
    <s v="Reliance Industries"/>
    <x v="0"/>
    <s v="kiran.rao@gmail.com"/>
    <s v="7160353236"/>
    <x v="4"/>
    <x v="5"/>
  </r>
  <r>
    <s v="C009"/>
    <s v="Aisha Khan"/>
    <s v="HCL Technologies"/>
    <x v="2"/>
    <s v="aisha.khan@gmail.com"/>
    <s v="7358677103"/>
    <x v="2"/>
    <x v="2"/>
  </r>
  <r>
    <s v="C010"/>
    <s v="Vikram Mehta"/>
    <s v="Capgemini"/>
    <x v="2"/>
    <s v="vikram.mehta@gmail.com"/>
    <s v="8201181881"/>
    <x v="1"/>
    <x v="0"/>
  </r>
  <r>
    <s v="C011"/>
    <s v="Deepak Nair"/>
    <s v="Accenture"/>
    <x v="3"/>
    <s v="deepak.nair@gmail.com"/>
    <s v="8980385975"/>
    <x v="4"/>
    <x v="0"/>
  </r>
  <r>
    <s v="C012"/>
    <s v="Pooja Shah"/>
    <s v="Cognizant"/>
    <x v="3"/>
    <s v="pooja.shah@gmail.com"/>
    <s v="8564693392"/>
    <x v="5"/>
    <x v="0"/>
  </r>
  <r>
    <s v="C013"/>
    <s v="Nikhil Joshi"/>
    <s v="TechNova Solutions"/>
    <x v="3"/>
    <s v="nikhil.joshi@gmail.com"/>
    <s v="7263215532"/>
    <x v="4"/>
    <x v="0"/>
  </r>
  <r>
    <s v="C014"/>
    <s v="Meera Iyer"/>
    <s v="InnoSoft Technologies"/>
    <x v="3"/>
    <s v="meera.iyer@gmail.com"/>
    <s v="9274355505"/>
    <x v="1"/>
    <x v="3"/>
  </r>
  <r>
    <s v="C015"/>
    <s v="Aditya Rao"/>
    <s v="Global Retail Pvt Ltd"/>
    <x v="4"/>
    <s v="aditya.rao@gmail.com"/>
    <s v="7761675677"/>
    <x v="5"/>
    <x v="2"/>
  </r>
  <r>
    <s v="C016"/>
    <s v="Neha Gupta"/>
    <s v="NextGen Solutions"/>
    <x v="4"/>
    <s v="neha.gupta@gmail.com"/>
    <s v="8171389148"/>
    <x v="6"/>
    <x v="1"/>
  </r>
  <r>
    <s v="C017"/>
    <s v="Sanjay Das"/>
    <s v="BlueSky Technologies"/>
    <x v="5"/>
    <s v="sanjay.das@gmail.com"/>
    <s v="9398508578"/>
    <x v="4"/>
    <x v="5"/>
  </r>
  <r>
    <s v="C018"/>
    <s v="Riya Kapoor"/>
    <s v="CloudWorks Pvt Ltd"/>
    <x v="6"/>
    <s v="riya.kapoor@gmail.com"/>
    <s v="9788554400"/>
    <x v="5"/>
    <x v="5"/>
  </r>
  <r>
    <s v="C019"/>
    <s v="Aman Jain"/>
    <s v="SmartTech Solutions"/>
    <x v="7"/>
    <s v="aman.jain@gmail.com"/>
    <s v="7946559625"/>
    <x v="6"/>
    <x v="1"/>
  </r>
  <r>
    <s v="C020"/>
    <s v="Divya Menon"/>
    <s v="Prime Innovations"/>
    <x v="8"/>
    <s v="divya.menon@gmail.com"/>
    <s v="7661651609"/>
    <x v="3"/>
    <x v="1"/>
  </r>
  <r>
    <s v="C021"/>
    <s v="Akash Singh"/>
    <s v="FutureSoft Technologies"/>
    <x v="8"/>
    <s v="akash.singh@gmail.com"/>
    <s v="8981101612"/>
    <x v="3"/>
    <x v="1"/>
  </r>
  <r>
    <s v="C022"/>
    <s v="Ramesh Kumar"/>
    <s v="Vision Enterprises"/>
    <x v="0"/>
    <s v="ramesh.kumar@gmail.com"/>
    <s v="9664539394"/>
    <x v="6"/>
    <x v="1"/>
  </r>
  <r>
    <s v="C023"/>
    <s v="Suresh Patil"/>
    <s v="Digital Edge Pvt Ltd"/>
    <x v="9"/>
    <s v="suresh.patil@gmail.com"/>
    <s v="8654835202"/>
    <x v="2"/>
    <x v="4"/>
  </r>
  <r>
    <s v="C024"/>
    <s v="Kavya Nair"/>
    <s v="GreenLeaf Solutions"/>
    <x v="0"/>
    <s v="kavya.nair@gmail.com"/>
    <s v="6466919756"/>
    <x v="7"/>
    <x v="1"/>
  </r>
  <r>
    <s v="C025"/>
    <s v="Harsha Gowda"/>
    <s v="Bright Minds Pvt Ltd"/>
    <x v="0"/>
    <s v="harsha.gowda@gmail.com"/>
    <s v="9351060086"/>
    <x v="4"/>
    <x v="4"/>
  </r>
  <r>
    <s v="C026"/>
    <s v="Nisha Verma"/>
    <s v="Apex Technologies"/>
    <x v="0"/>
    <s v="nisha.verma@gmail.com"/>
    <s v="6397278602"/>
    <x v="6"/>
    <x v="5"/>
  </r>
  <r>
    <s v="C027"/>
    <s v="Aditi Rao"/>
    <s v="Nova Systems"/>
    <x v="0"/>
    <s v="aditi.rao@gmail.com"/>
    <s v="6706414489"/>
    <x v="2"/>
    <x v="2"/>
  </r>
  <r>
    <s v="C028"/>
    <s v="Mohit Jain"/>
    <s v="Elite Infotech"/>
    <x v="2"/>
    <s v="mohit.jain@gmail.com"/>
    <s v="8151451152"/>
    <x v="0"/>
    <x v="4"/>
  </r>
  <r>
    <s v="C029"/>
    <s v="Shreya Kapoor"/>
    <s v="Skyline Solutions"/>
    <x v="2"/>
    <s v="shreya.kapoor@gmail.com"/>
    <s v="7739931931"/>
    <x v="8"/>
    <x v="1"/>
  </r>
  <r>
    <s v="C030"/>
    <s v="Karthik Reddy"/>
    <s v="Vertex Technologies"/>
    <x v="2"/>
    <s v="karthik.reddy@gmail.com"/>
    <s v="9668560231"/>
    <x v="5"/>
    <x v="2"/>
  </r>
  <r>
    <s v="C031"/>
    <s v="Manoj Sharma"/>
    <s v="Fusion Corp"/>
    <x v="2"/>
    <s v="manoj.sharma@gmail.com"/>
    <s v="7784104071"/>
    <x v="0"/>
    <x v="3"/>
  </r>
  <r>
    <s v="C032"/>
    <s v="Pallavi Iyer"/>
    <s v="Pioneer Systems"/>
    <x v="5"/>
    <s v="pallavi.iyer@gmail.com"/>
    <s v="9954677737"/>
    <x v="4"/>
    <x v="4"/>
  </r>
  <r>
    <s v="C033"/>
    <s v="Varun Mehta"/>
    <s v="Zenith Technologies"/>
    <x v="9"/>
    <s v="varun.mehta@gmail.com"/>
    <s v="8701229169"/>
    <x v="7"/>
    <x v="0"/>
  </r>
  <r>
    <s v="C034"/>
    <s v="Ritika Singh"/>
    <s v="Nexus Solutions"/>
    <x v="3"/>
    <s v="ritika.singh@gmail.com"/>
    <s v="8695374183"/>
    <x v="0"/>
    <x v="0"/>
  </r>
  <r>
    <s v="C035"/>
    <s v="Abhishek Das"/>
    <s v="Alpha Innovations"/>
    <x v="3"/>
    <s v="abhishek.das@gmail.com"/>
    <s v="7321045923"/>
    <x v="6"/>
    <x v="0"/>
  </r>
  <r>
    <s v="C036"/>
    <s v="Komal Patel"/>
    <s v="Infinity Solutions"/>
    <x v="10"/>
    <s v="komal.patel@gmail.com"/>
    <s v="8362450682"/>
    <x v="0"/>
    <x v="3"/>
  </r>
  <r>
    <s v="C037"/>
    <s v="Yash Gupta"/>
    <s v="Matrix Technologies"/>
    <x v="11"/>
    <s v="yash.gupta@gmail.com"/>
    <s v="6496023239"/>
    <x v="7"/>
    <x v="2"/>
  </r>
  <r>
    <s v="C038"/>
    <s v="Sanjana Rao"/>
    <s v="Quantum Software"/>
    <x v="8"/>
    <s v="sanjana.rao@gmail.com"/>
    <s v="7731321253"/>
    <x v="0"/>
    <x v="0"/>
  </r>
  <r>
    <s v="C039"/>
    <s v="Tarun Nair"/>
    <s v="Rapid Solutions"/>
    <x v="12"/>
    <s v="tarun.nair@gmail.com"/>
    <s v="7921766665"/>
    <x v="7"/>
    <x v="3"/>
  </r>
  <r>
    <s v="C040"/>
    <s v="Pavan Kumar"/>
    <s v="Spark Technologies"/>
    <x v="10"/>
    <s v="pavan.kumar@gmail.com"/>
    <s v="8307798168"/>
    <x v="6"/>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F001"/>
    <s v="C011"/>
    <d v="2026-11-23T00:00:00"/>
    <d v="2026-11-30T00:00:00"/>
    <s v="Follow-up Required"/>
    <x v="0"/>
  </r>
  <r>
    <s v="F002"/>
    <s v="C014"/>
    <d v="2026-02-27T00:00:00"/>
    <d v="2026-03-06T00:00:00"/>
    <s v="Waiting for Response"/>
    <x v="1"/>
  </r>
  <r>
    <s v="F003"/>
    <s v="C037"/>
    <d v="2026-11-12T00:00:00"/>
    <d v="2026-11-18T00:00:00"/>
    <s v="Demo Completed"/>
    <x v="2"/>
  </r>
  <r>
    <s v="F004"/>
    <s v="C017"/>
    <d v="2026-10-11T00:00:00"/>
    <d v="2026-10-22T00:00:00"/>
    <s v="Client Requested Callback"/>
    <x v="2"/>
  </r>
  <r>
    <s v="F005"/>
    <s v="C019"/>
    <d v="2026-01-26T00:00:00"/>
    <d v="2026-02-04T00:00:00"/>
    <s v="Email Sent"/>
    <x v="0"/>
  </r>
  <r>
    <s v="F006"/>
    <s v="C020"/>
    <d v="2026-02-01T00:00:00"/>
    <d v="2026-02-16T00:00:00"/>
    <s v="Meeting Scheduled"/>
    <x v="2"/>
  </r>
  <r>
    <s v="F007"/>
    <s v="C036"/>
    <d v="2026-07-03T00:00:00"/>
    <d v="2026-07-12T00:00:00"/>
    <s v="Waiting for Response"/>
    <x v="2"/>
  </r>
  <r>
    <s v="F008"/>
    <s v="C015"/>
    <d v="2026-08-19T00:00:00"/>
    <d v="2026-08-23T00:00:00"/>
    <s v="Follow-up Required"/>
    <x v="0"/>
  </r>
  <r>
    <s v="F009"/>
    <s v="C040"/>
    <d v="2026-12-14T00:00:00"/>
    <d v="2026-12-23T00:00:00"/>
    <s v="Demo Completed"/>
    <x v="0"/>
  </r>
  <r>
    <s v="F010"/>
    <s v="C036"/>
    <d v="2026-07-18T00:00:00"/>
    <d v="2026-07-21T00:00:00"/>
    <s v="Email Sent"/>
    <x v="0"/>
  </r>
  <r>
    <s v="F011"/>
    <s v="C022"/>
    <d v="2026-11-15T00:00:00"/>
    <d v="2026-11-27T00:00:00"/>
    <s v="Demo Completed"/>
    <x v="0"/>
  </r>
  <r>
    <s v="F012"/>
    <s v="C021"/>
    <d v="2026-08-24T00:00:00"/>
    <d v="2026-08-28T00:00:00"/>
    <s v="Call Scheduled"/>
    <x v="2"/>
  </r>
  <r>
    <s v="F013"/>
    <s v="C022"/>
    <d v="2026-10-15T00:00:00"/>
    <d v="2026-10-24T00:00:00"/>
    <s v="Email Sent"/>
    <x v="2"/>
  </r>
  <r>
    <s v="F014"/>
    <s v="C004"/>
    <d v="2026-01-23T00:00:00"/>
    <d v="2026-02-07T00:00:00"/>
    <s v="Proposal Shared"/>
    <x v="1"/>
  </r>
  <r>
    <s v="F015"/>
    <s v="C030"/>
    <d v="2026-09-08T00:00:00"/>
    <d v="2026-09-18T00:00:00"/>
    <s v="Follow-up Required"/>
    <x v="0"/>
  </r>
  <r>
    <s v="F016"/>
    <s v="C035"/>
    <d v="2026-09-22T00:00:00"/>
    <d v="2026-10-04T00:00:00"/>
    <s v="Demo Completed"/>
    <x v="0"/>
  </r>
  <r>
    <s v="F017"/>
    <s v="C014"/>
    <d v="2026-08-04T00:00:00"/>
    <d v="2026-08-15T00:00:00"/>
    <s v="Waiting for Response"/>
    <x v="2"/>
  </r>
  <r>
    <s v="F018"/>
    <s v="C013"/>
    <d v="2026-12-28T00:00:00"/>
    <d v="2027-01-06T00:00:00"/>
    <s v="Waiting for Response"/>
    <x v="1"/>
  </r>
  <r>
    <s v="F019"/>
    <s v="C003"/>
    <d v="2026-10-28T00:00:00"/>
    <d v="2026-11-09T00:00:00"/>
    <s v="Call Scheduled"/>
    <x v="1"/>
  </r>
  <r>
    <s v="F020"/>
    <s v="C012"/>
    <d v="2026-01-04T00:00:00"/>
    <d v="2026-01-11T00:00:00"/>
    <s v="Email Sent"/>
    <x v="2"/>
  </r>
  <r>
    <s v="F021"/>
    <s v="C027"/>
    <d v="2026-03-11T00:00:00"/>
    <d v="2026-03-18T00:00:00"/>
    <s v="Call Scheduled"/>
    <x v="1"/>
  </r>
  <r>
    <s v="F022"/>
    <s v="C040"/>
    <d v="2026-08-08T00:00:00"/>
    <d v="2026-08-17T00:00:00"/>
    <s v="Email Sent"/>
    <x v="1"/>
  </r>
  <r>
    <s v="F023"/>
    <s v="C016"/>
    <d v="2026-07-23T00:00:00"/>
    <d v="2026-07-28T00:00:00"/>
    <s v="Email Sent"/>
    <x v="2"/>
  </r>
  <r>
    <s v="F024"/>
    <s v="C003"/>
    <d v="2026-08-12T00:00:00"/>
    <d v="2026-08-19T00:00:00"/>
    <s v="Meeting Scheduled"/>
    <x v="0"/>
  </r>
  <r>
    <s v="F025"/>
    <s v="C019"/>
    <d v="2026-01-17T00:00:00"/>
    <d v="2026-01-31T00:00:00"/>
    <s v="Proposal Share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97E65E-D10D-49A2-9648-18F19DE1964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3:B77" firstHeaderRow="1" firstDataRow="1" firstDataCol="1"/>
  <pivotFields count="6">
    <pivotField dataField="1" showAll="0"/>
    <pivotField showAll="0"/>
    <pivotField numFmtId="14" showAll="0"/>
    <pivotField numFmtId="14" showAll="0"/>
    <pivotField showAll="0"/>
    <pivotField axis="axisRow" showAll="0">
      <items count="4">
        <item x="2"/>
        <item x="0"/>
        <item x="1"/>
        <item t="default"/>
      </items>
    </pivotField>
  </pivotFields>
  <rowFields count="1">
    <field x="5"/>
  </rowFields>
  <rowItems count="4">
    <i>
      <x/>
    </i>
    <i>
      <x v="1"/>
    </i>
    <i>
      <x v="2"/>
    </i>
    <i t="grand">
      <x/>
    </i>
  </rowItems>
  <colItems count="1">
    <i/>
  </colItems>
  <dataFields count="1">
    <dataField name="Count of Follow-Up ID" fld="0"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10904A-B287-49E9-9EB5-7CCF16AF6DB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B68" firstHeaderRow="1" firstDataRow="1" firstDataCol="1"/>
  <pivotFields count="8">
    <pivotField dataField="1" showAll="0"/>
    <pivotField showAll="0"/>
    <pivotField showAll="0"/>
    <pivotField showAll="0">
      <items count="14">
        <item x="2"/>
        <item x="4"/>
        <item x="9"/>
        <item x="12"/>
        <item x="7"/>
        <item x="0"/>
        <item x="5"/>
        <item x="11"/>
        <item x="1"/>
        <item x="10"/>
        <item x="8"/>
        <item x="3"/>
        <item x="6"/>
        <item t="default"/>
      </items>
    </pivotField>
    <pivotField showAll="0"/>
    <pivotField showAll="0"/>
    <pivotField axis="axisRow" showAll="0">
      <items count="10">
        <item x="6"/>
        <item x="7"/>
        <item x="1"/>
        <item x="5"/>
        <item x="0"/>
        <item x="4"/>
        <item x="8"/>
        <item x="2"/>
        <item x="3"/>
        <item t="default"/>
      </items>
    </pivotField>
    <pivotField showAll="0">
      <items count="7">
        <item x="2"/>
        <item x="0"/>
        <item x="1"/>
        <item x="4"/>
        <item x="5"/>
        <item x="3"/>
        <item t="default"/>
      </items>
    </pivotField>
  </pivotFields>
  <rowFields count="1">
    <field x="6"/>
  </rowFields>
  <rowItems count="10">
    <i>
      <x/>
    </i>
    <i>
      <x v="1"/>
    </i>
    <i>
      <x v="2"/>
    </i>
    <i>
      <x v="3"/>
    </i>
    <i>
      <x v="4"/>
    </i>
    <i>
      <x v="5"/>
    </i>
    <i>
      <x v="6"/>
    </i>
    <i>
      <x v="7"/>
    </i>
    <i>
      <x v="8"/>
    </i>
    <i t="grand">
      <x/>
    </i>
  </rowItems>
  <colItems count="1">
    <i/>
  </colItems>
  <dataFields count="1">
    <dataField name="Count of Customer ID" fld="0"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BECABD-D8FE-46D1-A585-6D0F2BB671D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4:B50" firstHeaderRow="1" firstDataRow="1" firstDataCol="1"/>
  <pivotFields count="7">
    <pivotField dataField="1" showAll="0"/>
    <pivotField showAll="0"/>
    <pivotField showAll="0">
      <items count="9">
        <item x="0"/>
        <item x="4"/>
        <item x="6"/>
        <item x="2"/>
        <item x="1"/>
        <item x="7"/>
        <item x="3"/>
        <item x="5"/>
        <item t="default"/>
      </items>
    </pivotField>
    <pivotField numFmtId="164" showAll="0"/>
    <pivotField showAll="0"/>
    <pivotField numFmtId="14" showAll="0"/>
    <pivotField axis="axisRow" showAll="0">
      <items count="6">
        <item x="1"/>
        <item x="2"/>
        <item x="3"/>
        <item x="4"/>
        <item x="0"/>
        <item t="default"/>
      </items>
    </pivotField>
  </pivotFields>
  <rowFields count="1">
    <field x="6"/>
  </rowFields>
  <rowItems count="6">
    <i>
      <x/>
    </i>
    <i>
      <x v="1"/>
    </i>
    <i>
      <x v="2"/>
    </i>
    <i>
      <x v="3"/>
    </i>
    <i>
      <x v="4"/>
    </i>
    <i t="grand">
      <x/>
    </i>
  </rowItems>
  <colItems count="1">
    <i/>
  </colItems>
  <dataFields count="1">
    <dataField name="Count of Opportunity ID" fld="0"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93223B-C5C5-4AA1-ADFA-654067B9F37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6:B35" firstHeaderRow="1" firstDataRow="1" firstDataCol="1"/>
  <pivotFields count="7">
    <pivotField showAll="0"/>
    <pivotField showAll="0"/>
    <pivotField axis="axisRow" showAll="0">
      <items count="9">
        <item x="0"/>
        <item x="4"/>
        <item x="6"/>
        <item x="2"/>
        <item x="1"/>
        <item x="7"/>
        <item x="3"/>
        <item x="5"/>
        <item t="default"/>
      </items>
    </pivotField>
    <pivotField dataField="1" numFmtId="164" showAll="0"/>
    <pivotField showAll="0"/>
    <pivotField numFmtId="14" showAll="0"/>
    <pivotField showAll="0">
      <items count="6">
        <item x="1"/>
        <item x="2"/>
        <item x="3"/>
        <item x="4"/>
        <item x="0"/>
        <item t="default"/>
      </items>
    </pivotField>
  </pivotFields>
  <rowFields count="1">
    <field x="2"/>
  </rowFields>
  <rowItems count="9">
    <i>
      <x/>
    </i>
    <i>
      <x v="1"/>
    </i>
    <i>
      <x v="2"/>
    </i>
    <i>
      <x v="3"/>
    </i>
    <i>
      <x v="4"/>
    </i>
    <i>
      <x v="5"/>
    </i>
    <i>
      <x v="6"/>
    </i>
    <i>
      <x v="7"/>
    </i>
    <i t="grand">
      <x/>
    </i>
  </rowItems>
  <colItems count="1">
    <i/>
  </colItems>
  <dataFields count="1">
    <dataField name="Sum of Amount" fld="3" baseField="0" baseItem="0" numFmtId="164"/>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FFFADA-3022-407F-9675-2D4E3828404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21" firstHeaderRow="1" firstDataRow="1" firstDataCol="1"/>
  <pivotFields count="7">
    <pivotField dataField="1" showAll="0"/>
    <pivotField showAll="0"/>
    <pivotField axis="axisRow" showAll="0">
      <items count="8">
        <item x="0"/>
        <item x="3"/>
        <item x="6"/>
        <item x="2"/>
        <item x="4"/>
        <item x="1"/>
        <item x="5"/>
        <item t="default"/>
      </items>
    </pivotField>
    <pivotField showAll="0">
      <items count="6">
        <item x="4"/>
        <item x="1"/>
        <item x="2"/>
        <item x="3"/>
        <item x="0"/>
        <item t="default"/>
      </items>
    </pivotField>
    <pivotField numFmtId="164" showAll="0"/>
    <pivotField showAll="0">
      <items count="4">
        <item x="1"/>
        <item x="2"/>
        <item x="0"/>
        <item t="default"/>
      </items>
    </pivotField>
    <pivotField numFmtId="14" showAll="0"/>
  </pivotFields>
  <rowFields count="1">
    <field x="2"/>
  </rowFields>
  <rowItems count="8">
    <i>
      <x/>
    </i>
    <i>
      <x v="1"/>
    </i>
    <i>
      <x v="2"/>
    </i>
    <i>
      <x v="3"/>
    </i>
    <i>
      <x v="4"/>
    </i>
    <i>
      <x v="5"/>
    </i>
    <i>
      <x v="6"/>
    </i>
    <i t="grand">
      <x/>
    </i>
  </rowItems>
  <colItems count="1">
    <i/>
  </colItems>
  <dataFields count="1">
    <dataField name="Count of Lead ID" fld="0" subtotal="count" baseField="0" baseItem="0"/>
  </dataFields>
  <chartFormats count="9">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5"/>
          </reference>
        </references>
      </pivotArea>
    </chartFormat>
    <chartFormat chart="5"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EA1F582-148A-40DA-B8D5-9E54626C35E5}" sourceName="Industry">
  <pivotTables>
    <pivotTable tabId="5" name="PivotTable4"/>
  </pivotTables>
  <data>
    <tabular pivotCacheId="1004113875">
      <items count="13">
        <i x="2" s="1"/>
        <i x="4" s="1"/>
        <i x="9" s="1"/>
        <i x="12" s="1"/>
        <i x="7" s="1"/>
        <i x="0" s="1"/>
        <i x="5" s="1"/>
        <i x="11" s="1"/>
        <i x="1" s="1"/>
        <i x="10" s="1"/>
        <i x="8"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8B62882-C0FA-4153-A629-3FDD1D967F0A}" sourceName="City ">
  <pivotTables>
    <pivotTable tabId="5" name="PivotTable4"/>
  </pivotTables>
  <data>
    <tabular pivotCacheId="1004113875">
      <items count="9">
        <i x="6" s="1"/>
        <i x="7" s="1"/>
        <i x="1" s="1"/>
        <i x="5" s="1"/>
        <i x="0" s="1"/>
        <i x="4" s="1"/>
        <i x="8"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D568371A-FF01-4C41-9874-189F270CE86C}" sourceName="Salesperson">
  <pivotTables>
    <pivotTable tabId="5" name="PivotTable4"/>
  </pivotTables>
  <data>
    <tabular pivotCacheId="1004113875">
      <items count="6">
        <i x="2" s="1"/>
        <i x="0" s="1"/>
        <i x="1" s="1"/>
        <i x="4"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Status" xr10:uid="{8DE24807-335D-4C59-9B04-D2D06531F69C}" sourceName="Lead Status">
  <pivotTables>
    <pivotTable tabId="5" name="PivotTable1"/>
  </pivotTables>
  <data>
    <tabular pivotCacheId="1323450910">
      <items count="7">
        <i x="0" s="1"/>
        <i x="3" s="1"/>
        <i x="6" s="1"/>
        <i x="2" s="1"/>
        <i x="4"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8621DB21-B748-4A72-B0B1-B95B1706E308}" sourceName="Source">
  <pivotTables>
    <pivotTable tabId="5" name="PivotTable1"/>
  </pivotTables>
  <data>
    <tabular pivotCacheId="1323450910">
      <items count="5">
        <i x="4" s="1"/>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AA249D25-D7B0-44AB-8009-0925DE8C98A0}" sourceName="Priority">
  <pivotTables>
    <pivotTable tabId="5" name="PivotTable1"/>
  </pivotTables>
  <data>
    <tabular pivotCacheId="1323450910">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6A6B9F5-0568-4A48-A339-651D5DAA2D4E}" sourceName="Product">
  <pivotTables>
    <pivotTable tabId="5" name="PivotTable3"/>
  </pivotTables>
  <data>
    <tabular pivotCacheId="620373124">
      <items count="8">
        <i x="0" s="1"/>
        <i x="4" s="1"/>
        <i x="6" s="1"/>
        <i x="2" s="1"/>
        <i x="1" s="1"/>
        <i x="7" s="1"/>
        <i x="3"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D0258CE3-F062-4F03-A69A-A25B6889921B}" sourceName="Stage">
  <pivotTables>
    <pivotTable tabId="5" name="PivotTable3"/>
  </pivotTables>
  <data>
    <tabular pivotCacheId="620373124">
      <items count="5">
        <i x="1" s="1"/>
        <i x="2" s="1"/>
        <i x="3" s="1"/>
        <i x="4"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DECDBF0-7EF4-4EA9-BD46-A0C111298270}" sourceName="Status">
  <pivotTables>
    <pivotTable tabId="5" name="PivotTable5"/>
  </pivotTables>
  <data>
    <tabular pivotCacheId="1580477848">
      <items count="3">
        <i x="2" s="1"/>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5DFA00C-C44B-4338-97E3-F4BB8D27E572}" sourceName="Product">
  <pivotTables>
    <pivotTable tabId="5" name="PivotTable2"/>
  </pivotTables>
  <data>
    <tabular pivotCacheId="620373124">
      <items count="8">
        <i x="0" s="1"/>
        <i x="4" s="1"/>
        <i x="6" s="1"/>
        <i x="2" s="1"/>
        <i x="1" s="1"/>
        <i x="7" s="1"/>
        <i x="3" s="1"/>
        <i x="5"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1" xr10:uid="{928145A1-BBED-4D83-8AA9-148C2CB4F3A8}" sourceName="Stage">
  <pivotTables>
    <pivotTable tabId="5" name="PivotTable2"/>
  </pivotTables>
  <data>
    <tabular pivotCacheId="620373124">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38073AB-93B0-40BF-B5FD-1FB7F50D1284}" cache="Slicer_Industry" caption="Industry" rowHeight="241300"/>
  <slicer name="City " xr10:uid="{DC28EF24-09B9-474F-9363-D4D88D709D0A}" cache="Slicer_City" caption="City " rowHeight="241300"/>
  <slicer name="Salesperson" xr10:uid="{607368D2-1AE5-47C2-AF55-A6A52E432FF6}" cache="Slicer_Salesperson" caption="Salesperson" rowHeight="241300"/>
  <slicer name="Lead Status" xr10:uid="{6D5745D9-5408-4937-86C2-8151A5EE0914}" cache="Slicer_Lead_Status" caption="Lead Status" rowHeight="241300"/>
  <slicer name="Source" xr10:uid="{52423127-24BA-4245-8CDB-9FEDA1E45368}" cache="Slicer_Source" caption="Source" rowHeight="241300"/>
  <slicer name="Priority" xr10:uid="{EDDC5106-6DC2-4B1F-94EC-774FAA8B0C17}" cache="Slicer_Priority" caption="Priority" rowHeight="241300"/>
  <slicer name="Product" xr10:uid="{82E53B53-3C07-4725-A785-A15C46614849}" cache="Slicer_Product" caption="Product" rowHeight="241300"/>
  <slicer name="Stage" xr10:uid="{51EFC964-1545-4CE4-8D1D-AEA988807869}" cache="Slicer_Stage" caption="Stage" rowHeight="241300"/>
  <slicer name="Status" xr10:uid="{E4032A66-CD11-4D3A-A95A-430164083B8D}" cache="Slicer_Status" caption="Status" rowHeight="241300"/>
  <slicer name="Product 1" xr10:uid="{E338372B-5288-4EA3-8822-0139EA7CF0B1}" cache="Slicer_Product1" caption="Product" rowHeight="241300"/>
  <slicer name="Stage 1" xr10:uid="{80DB55CD-D455-4480-B839-5F11A52E036C}" cache="Slicer_Stage1" caption="Stag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opLeftCell="A23" workbookViewId="0">
      <selection activeCell="H12" sqref="H12"/>
    </sheetView>
  </sheetViews>
  <sheetFormatPr defaultRowHeight="14.5" x14ac:dyDescent="0.35"/>
  <cols>
    <col min="1" max="1" width="11.1796875" bestFit="1" customWidth="1"/>
    <col min="2" max="2" width="14.36328125" bestFit="1" customWidth="1"/>
    <col min="3" max="3" width="21.08984375" bestFit="1" customWidth="1"/>
    <col min="4" max="4" width="18.1796875" bestFit="1" customWidth="1"/>
    <col min="5" max="5" width="23" bestFit="1" customWidth="1"/>
    <col min="6" max="6" width="10.81640625" bestFit="1" customWidth="1"/>
    <col min="7" max="7" width="11" bestFit="1" customWidth="1"/>
    <col min="8" max="8" width="10.81640625" bestFit="1" customWidth="1"/>
  </cols>
  <sheetData>
    <row r="1" spans="1:8" x14ac:dyDescent="0.35">
      <c r="A1" t="s">
        <v>0</v>
      </c>
      <c r="B1" t="s">
        <v>1</v>
      </c>
      <c r="C1" t="s">
        <v>2</v>
      </c>
      <c r="D1" t="s">
        <v>3</v>
      </c>
      <c r="E1" t="s">
        <v>4</v>
      </c>
      <c r="F1" t="s">
        <v>5</v>
      </c>
      <c r="G1" t="s">
        <v>7</v>
      </c>
      <c r="H1" t="s">
        <v>6</v>
      </c>
    </row>
    <row r="2" spans="1:8" x14ac:dyDescent="0.35">
      <c r="A2" t="str">
        <f>"C"&amp;TEXT(ROW()-1,"000")</f>
        <v>C001</v>
      </c>
      <c r="B2" t="s">
        <v>27</v>
      </c>
      <c r="C2" t="s">
        <v>62</v>
      </c>
      <c r="D2" t="s">
        <v>180</v>
      </c>
      <c r="E2" t="s">
        <v>28</v>
      </c>
      <c r="F2" t="s">
        <v>211</v>
      </c>
      <c r="G2" t="s">
        <v>190</v>
      </c>
      <c r="H2" t="s">
        <v>37</v>
      </c>
    </row>
    <row r="3" spans="1:8" x14ac:dyDescent="0.35">
      <c r="A3" t="str">
        <f t="shared" ref="A3:A41" si="0">"C"&amp;TEXT(ROW()-1,"000")</f>
        <v>C002</v>
      </c>
      <c r="B3" t="s">
        <v>108</v>
      </c>
      <c r="C3" t="s">
        <v>149</v>
      </c>
      <c r="D3" t="s">
        <v>48</v>
      </c>
      <c r="E3" t="s">
        <v>109</v>
      </c>
      <c r="F3" t="s">
        <v>212</v>
      </c>
      <c r="G3" t="s">
        <v>49</v>
      </c>
      <c r="H3" t="s">
        <v>44</v>
      </c>
    </row>
    <row r="4" spans="1:8" x14ac:dyDescent="0.35">
      <c r="A4" t="str">
        <f t="shared" si="0"/>
        <v>C003</v>
      </c>
      <c r="B4" t="s">
        <v>53</v>
      </c>
      <c r="C4" t="s">
        <v>40</v>
      </c>
      <c r="D4" t="s">
        <v>180</v>
      </c>
      <c r="E4" t="s">
        <v>54</v>
      </c>
      <c r="F4" t="s">
        <v>213</v>
      </c>
      <c r="G4" t="s">
        <v>189</v>
      </c>
      <c r="H4" t="s">
        <v>14</v>
      </c>
    </row>
    <row r="5" spans="1:8" x14ac:dyDescent="0.35">
      <c r="A5" t="str">
        <f t="shared" si="0"/>
        <v>C004</v>
      </c>
      <c r="B5" t="s">
        <v>88</v>
      </c>
      <c r="C5" t="s">
        <v>47</v>
      </c>
      <c r="D5" t="s">
        <v>180</v>
      </c>
      <c r="E5" t="s">
        <v>89</v>
      </c>
      <c r="F5" t="s">
        <v>214</v>
      </c>
      <c r="G5" t="s">
        <v>64</v>
      </c>
      <c r="H5" t="s">
        <v>25</v>
      </c>
    </row>
    <row r="6" spans="1:8" x14ac:dyDescent="0.35">
      <c r="A6" t="str">
        <f t="shared" si="0"/>
        <v>C005</v>
      </c>
      <c r="B6" t="s">
        <v>30</v>
      </c>
      <c r="C6" t="s">
        <v>74</v>
      </c>
      <c r="D6" t="s">
        <v>180</v>
      </c>
      <c r="E6" t="s">
        <v>31</v>
      </c>
      <c r="F6" t="s">
        <v>215</v>
      </c>
      <c r="G6" t="s">
        <v>64</v>
      </c>
      <c r="H6" t="s">
        <v>18</v>
      </c>
    </row>
    <row r="7" spans="1:8" x14ac:dyDescent="0.35">
      <c r="A7" t="str">
        <f t="shared" si="0"/>
        <v>C006</v>
      </c>
      <c r="B7" t="s">
        <v>66</v>
      </c>
      <c r="C7" t="s">
        <v>21</v>
      </c>
      <c r="D7" t="s">
        <v>180</v>
      </c>
      <c r="E7" t="s">
        <v>67</v>
      </c>
      <c r="F7" t="s">
        <v>216</v>
      </c>
      <c r="G7" t="s">
        <v>49</v>
      </c>
      <c r="H7" t="s">
        <v>18</v>
      </c>
    </row>
    <row r="8" spans="1:8" x14ac:dyDescent="0.35">
      <c r="A8" t="str">
        <f t="shared" si="0"/>
        <v>C007</v>
      </c>
      <c r="B8" t="s">
        <v>61</v>
      </c>
      <c r="C8" t="s">
        <v>69</v>
      </c>
      <c r="D8" t="s">
        <v>180</v>
      </c>
      <c r="E8" t="s">
        <v>63</v>
      </c>
      <c r="F8" t="s">
        <v>217</v>
      </c>
      <c r="G8" t="s">
        <v>190</v>
      </c>
      <c r="H8" t="s">
        <v>14</v>
      </c>
    </row>
    <row r="9" spans="1:8" x14ac:dyDescent="0.35">
      <c r="A9" t="str">
        <f t="shared" si="0"/>
        <v>C008</v>
      </c>
      <c r="B9" t="s">
        <v>83</v>
      </c>
      <c r="C9" t="s">
        <v>150</v>
      </c>
      <c r="D9" t="s">
        <v>180</v>
      </c>
      <c r="E9" t="s">
        <v>84</v>
      </c>
      <c r="F9" t="s">
        <v>218</v>
      </c>
      <c r="G9" t="s">
        <v>13</v>
      </c>
      <c r="H9" t="s">
        <v>23</v>
      </c>
    </row>
    <row r="10" spans="1:8" x14ac:dyDescent="0.35">
      <c r="A10" t="str">
        <f t="shared" si="0"/>
        <v>C009</v>
      </c>
      <c r="B10" t="s">
        <v>106</v>
      </c>
      <c r="C10" t="s">
        <v>151</v>
      </c>
      <c r="D10" t="s">
        <v>181</v>
      </c>
      <c r="E10" t="s">
        <v>107</v>
      </c>
      <c r="F10" t="s">
        <v>219</v>
      </c>
      <c r="G10" t="s">
        <v>189</v>
      </c>
      <c r="H10" t="s">
        <v>14</v>
      </c>
    </row>
    <row r="11" spans="1:8" x14ac:dyDescent="0.35">
      <c r="A11" t="str">
        <f t="shared" si="0"/>
        <v>C010</v>
      </c>
      <c r="B11" t="s">
        <v>102</v>
      </c>
      <c r="C11" t="s">
        <v>10</v>
      </c>
      <c r="D11" t="s">
        <v>181</v>
      </c>
      <c r="E11" t="s">
        <v>103</v>
      </c>
      <c r="F11" t="s">
        <v>220</v>
      </c>
      <c r="G11" t="s">
        <v>49</v>
      </c>
      <c r="H11" t="s">
        <v>37</v>
      </c>
    </row>
    <row r="12" spans="1:8" x14ac:dyDescent="0.35">
      <c r="A12" t="str">
        <f t="shared" si="0"/>
        <v>C011</v>
      </c>
      <c r="B12" t="s">
        <v>57</v>
      </c>
      <c r="C12" t="s">
        <v>77</v>
      </c>
      <c r="D12" t="s">
        <v>182</v>
      </c>
      <c r="E12" t="s">
        <v>59</v>
      </c>
      <c r="F12" t="s">
        <v>221</v>
      </c>
      <c r="G12" t="s">
        <v>13</v>
      </c>
      <c r="H12" t="s">
        <v>37</v>
      </c>
    </row>
    <row r="13" spans="1:8" x14ac:dyDescent="0.35">
      <c r="A13" t="str">
        <f t="shared" si="0"/>
        <v>C012</v>
      </c>
      <c r="B13" t="s">
        <v>94</v>
      </c>
      <c r="C13" t="s">
        <v>51</v>
      </c>
      <c r="D13" t="s">
        <v>182</v>
      </c>
      <c r="E13" t="s">
        <v>95</v>
      </c>
      <c r="F13" t="s">
        <v>222</v>
      </c>
      <c r="G13" t="s">
        <v>36</v>
      </c>
      <c r="H13" t="s">
        <v>37</v>
      </c>
    </row>
    <row r="14" spans="1:8" x14ac:dyDescent="0.35">
      <c r="A14" t="str">
        <f t="shared" si="0"/>
        <v>C013</v>
      </c>
      <c r="B14" t="s">
        <v>20</v>
      </c>
      <c r="C14" t="s">
        <v>152</v>
      </c>
      <c r="D14" t="s">
        <v>182</v>
      </c>
      <c r="E14" t="s">
        <v>22</v>
      </c>
      <c r="F14" t="s">
        <v>223</v>
      </c>
      <c r="G14" t="s">
        <v>13</v>
      </c>
      <c r="H14" t="s">
        <v>37</v>
      </c>
    </row>
    <row r="15" spans="1:8" x14ac:dyDescent="0.35">
      <c r="A15" t="str">
        <f t="shared" si="0"/>
        <v>C014</v>
      </c>
      <c r="B15" t="s">
        <v>39</v>
      </c>
      <c r="C15" t="s">
        <v>153</v>
      </c>
      <c r="D15" t="s">
        <v>182</v>
      </c>
      <c r="E15" t="s">
        <v>42</v>
      </c>
      <c r="F15" t="s">
        <v>224</v>
      </c>
      <c r="G15" t="s">
        <v>49</v>
      </c>
      <c r="H15" t="s">
        <v>25</v>
      </c>
    </row>
    <row r="16" spans="1:8" x14ac:dyDescent="0.35">
      <c r="A16" t="str">
        <f t="shared" si="0"/>
        <v>C015</v>
      </c>
      <c r="B16" t="s">
        <v>85</v>
      </c>
      <c r="C16" t="s">
        <v>154</v>
      </c>
      <c r="D16" t="s">
        <v>11</v>
      </c>
      <c r="E16" t="s">
        <v>86</v>
      </c>
      <c r="F16" t="s">
        <v>225</v>
      </c>
      <c r="G16" t="s">
        <v>36</v>
      </c>
      <c r="H16" t="s">
        <v>14</v>
      </c>
    </row>
    <row r="17" spans="1:8" x14ac:dyDescent="0.35">
      <c r="A17" t="str">
        <f t="shared" si="0"/>
        <v>C016</v>
      </c>
      <c r="B17" t="s">
        <v>34</v>
      </c>
      <c r="C17" t="s">
        <v>155</v>
      </c>
      <c r="D17" t="s">
        <v>11</v>
      </c>
      <c r="E17" t="s">
        <v>35</v>
      </c>
      <c r="F17" t="s">
        <v>226</v>
      </c>
      <c r="G17" t="s">
        <v>70</v>
      </c>
      <c r="H17" t="s">
        <v>44</v>
      </c>
    </row>
    <row r="18" spans="1:8" x14ac:dyDescent="0.35">
      <c r="A18" t="str">
        <f t="shared" si="0"/>
        <v>C017</v>
      </c>
      <c r="B18" t="s">
        <v>9</v>
      </c>
      <c r="C18" t="s">
        <v>156</v>
      </c>
      <c r="D18" t="s">
        <v>58</v>
      </c>
      <c r="E18" t="s">
        <v>12</v>
      </c>
      <c r="F18" t="s">
        <v>227</v>
      </c>
      <c r="G18" t="s">
        <v>13</v>
      </c>
      <c r="H18" t="s">
        <v>23</v>
      </c>
    </row>
    <row r="19" spans="1:8" x14ac:dyDescent="0.35">
      <c r="A19" t="str">
        <f t="shared" si="0"/>
        <v>C018</v>
      </c>
      <c r="B19" t="s">
        <v>76</v>
      </c>
      <c r="C19" t="s">
        <v>157</v>
      </c>
      <c r="D19" t="s">
        <v>183</v>
      </c>
      <c r="E19" t="s">
        <v>78</v>
      </c>
      <c r="F19" t="s">
        <v>228</v>
      </c>
      <c r="G19" t="s">
        <v>36</v>
      </c>
      <c r="H19" t="s">
        <v>23</v>
      </c>
    </row>
    <row r="20" spans="1:8" x14ac:dyDescent="0.35">
      <c r="A20" t="str">
        <f t="shared" si="0"/>
        <v>C019</v>
      </c>
      <c r="B20" t="s">
        <v>16</v>
      </c>
      <c r="C20" t="s">
        <v>158</v>
      </c>
      <c r="D20" t="s">
        <v>184</v>
      </c>
      <c r="E20" t="s">
        <v>17</v>
      </c>
      <c r="F20" t="s">
        <v>229</v>
      </c>
      <c r="G20" t="s">
        <v>70</v>
      </c>
      <c r="H20" t="s">
        <v>44</v>
      </c>
    </row>
    <row r="21" spans="1:8" x14ac:dyDescent="0.35">
      <c r="A21" t="str">
        <f t="shared" si="0"/>
        <v>C020</v>
      </c>
      <c r="B21" t="s">
        <v>110</v>
      </c>
      <c r="C21" t="s">
        <v>159</v>
      </c>
      <c r="D21" t="s">
        <v>41</v>
      </c>
      <c r="E21" t="s">
        <v>111</v>
      </c>
      <c r="F21" t="s">
        <v>230</v>
      </c>
      <c r="G21" t="s">
        <v>64</v>
      </c>
      <c r="H21" t="s">
        <v>44</v>
      </c>
    </row>
    <row r="22" spans="1:8" x14ac:dyDescent="0.35">
      <c r="A22" t="str">
        <f t="shared" si="0"/>
        <v>C021</v>
      </c>
      <c r="B22" t="s">
        <v>129</v>
      </c>
      <c r="C22" t="s">
        <v>160</v>
      </c>
      <c r="D22" t="s">
        <v>41</v>
      </c>
      <c r="E22" t="s">
        <v>191</v>
      </c>
      <c r="F22" t="s">
        <v>231</v>
      </c>
      <c r="G22" t="s">
        <v>64</v>
      </c>
      <c r="H22" t="s">
        <v>44</v>
      </c>
    </row>
    <row r="23" spans="1:8" x14ac:dyDescent="0.35">
      <c r="A23" t="str">
        <f t="shared" si="0"/>
        <v>C022</v>
      </c>
      <c r="B23" t="s">
        <v>130</v>
      </c>
      <c r="C23" t="s">
        <v>161</v>
      </c>
      <c r="D23" t="s">
        <v>180</v>
      </c>
      <c r="E23" t="s">
        <v>192</v>
      </c>
      <c r="F23" t="s">
        <v>232</v>
      </c>
      <c r="G23" t="s">
        <v>70</v>
      </c>
      <c r="H23" t="s">
        <v>44</v>
      </c>
    </row>
    <row r="24" spans="1:8" x14ac:dyDescent="0.35">
      <c r="A24" t="str">
        <f t="shared" si="0"/>
        <v>C023</v>
      </c>
      <c r="B24" t="s">
        <v>131</v>
      </c>
      <c r="C24" t="s">
        <v>162</v>
      </c>
      <c r="D24" t="s">
        <v>185</v>
      </c>
      <c r="E24" t="s">
        <v>193</v>
      </c>
      <c r="F24" t="s">
        <v>233</v>
      </c>
      <c r="G24" t="s">
        <v>189</v>
      </c>
      <c r="H24" t="s">
        <v>18</v>
      </c>
    </row>
    <row r="25" spans="1:8" x14ac:dyDescent="0.35">
      <c r="A25" t="str">
        <f t="shared" si="0"/>
        <v>C024</v>
      </c>
      <c r="B25" t="s">
        <v>132</v>
      </c>
      <c r="C25" t="s">
        <v>163</v>
      </c>
      <c r="D25" t="s">
        <v>180</v>
      </c>
      <c r="E25" t="s">
        <v>194</v>
      </c>
      <c r="F25" t="s">
        <v>234</v>
      </c>
      <c r="G25" t="s">
        <v>32</v>
      </c>
      <c r="H25" t="s">
        <v>44</v>
      </c>
    </row>
    <row r="26" spans="1:8" x14ac:dyDescent="0.35">
      <c r="A26" t="str">
        <f t="shared" si="0"/>
        <v>C025</v>
      </c>
      <c r="B26" t="s">
        <v>133</v>
      </c>
      <c r="C26" t="s">
        <v>164</v>
      </c>
      <c r="D26" t="s">
        <v>180</v>
      </c>
      <c r="E26" t="s">
        <v>195</v>
      </c>
      <c r="F26" t="s">
        <v>235</v>
      </c>
      <c r="G26" t="s">
        <v>13</v>
      </c>
      <c r="H26" t="s">
        <v>18</v>
      </c>
    </row>
    <row r="27" spans="1:8" x14ac:dyDescent="0.35">
      <c r="A27" t="str">
        <f t="shared" si="0"/>
        <v>C026</v>
      </c>
      <c r="B27" t="s">
        <v>134</v>
      </c>
      <c r="C27" t="s">
        <v>165</v>
      </c>
      <c r="D27" t="s">
        <v>180</v>
      </c>
      <c r="E27" t="s">
        <v>196</v>
      </c>
      <c r="F27" t="s">
        <v>236</v>
      </c>
      <c r="G27" t="s">
        <v>70</v>
      </c>
      <c r="H27" t="s">
        <v>23</v>
      </c>
    </row>
    <row r="28" spans="1:8" x14ac:dyDescent="0.35">
      <c r="A28" t="str">
        <f t="shared" si="0"/>
        <v>C027</v>
      </c>
      <c r="B28" t="s">
        <v>135</v>
      </c>
      <c r="C28" t="s">
        <v>166</v>
      </c>
      <c r="D28" t="s">
        <v>180</v>
      </c>
      <c r="E28" t="s">
        <v>197</v>
      </c>
      <c r="F28" t="s">
        <v>237</v>
      </c>
      <c r="G28" t="s">
        <v>189</v>
      </c>
      <c r="H28" t="s">
        <v>14</v>
      </c>
    </row>
    <row r="29" spans="1:8" x14ac:dyDescent="0.35">
      <c r="A29" t="str">
        <f t="shared" si="0"/>
        <v>C028</v>
      </c>
      <c r="B29" t="s">
        <v>136</v>
      </c>
      <c r="C29" t="s">
        <v>167</v>
      </c>
      <c r="D29" t="s">
        <v>181</v>
      </c>
      <c r="E29" t="s">
        <v>198</v>
      </c>
      <c r="F29" t="s">
        <v>238</v>
      </c>
      <c r="G29" t="s">
        <v>190</v>
      </c>
      <c r="H29" t="s">
        <v>18</v>
      </c>
    </row>
    <row r="30" spans="1:8" x14ac:dyDescent="0.35">
      <c r="A30" t="str">
        <f t="shared" si="0"/>
        <v>C029</v>
      </c>
      <c r="B30" t="s">
        <v>137</v>
      </c>
      <c r="C30" t="s">
        <v>168</v>
      </c>
      <c r="D30" t="s">
        <v>181</v>
      </c>
      <c r="E30" t="s">
        <v>199</v>
      </c>
      <c r="F30" t="s">
        <v>239</v>
      </c>
      <c r="G30" t="s">
        <v>43</v>
      </c>
      <c r="H30" t="s">
        <v>44</v>
      </c>
    </row>
    <row r="31" spans="1:8" x14ac:dyDescent="0.35">
      <c r="A31" t="str">
        <f t="shared" si="0"/>
        <v>C030</v>
      </c>
      <c r="B31" t="s">
        <v>138</v>
      </c>
      <c r="C31" t="s">
        <v>169</v>
      </c>
      <c r="D31" t="s">
        <v>181</v>
      </c>
      <c r="E31" t="s">
        <v>200</v>
      </c>
      <c r="F31" t="s">
        <v>240</v>
      </c>
      <c r="G31" t="s">
        <v>36</v>
      </c>
      <c r="H31" t="s">
        <v>14</v>
      </c>
    </row>
    <row r="32" spans="1:8" x14ac:dyDescent="0.35">
      <c r="A32" t="str">
        <f t="shared" si="0"/>
        <v>C031</v>
      </c>
      <c r="B32" t="s">
        <v>139</v>
      </c>
      <c r="C32" t="s">
        <v>170</v>
      </c>
      <c r="D32" t="s">
        <v>181</v>
      </c>
      <c r="E32" t="s">
        <v>201</v>
      </c>
      <c r="F32" t="s">
        <v>241</v>
      </c>
      <c r="G32" t="s">
        <v>190</v>
      </c>
      <c r="H32" t="s">
        <v>25</v>
      </c>
    </row>
    <row r="33" spans="1:8" x14ac:dyDescent="0.35">
      <c r="A33" t="str">
        <f t="shared" si="0"/>
        <v>C032</v>
      </c>
      <c r="B33" t="s">
        <v>140</v>
      </c>
      <c r="C33" t="s">
        <v>171</v>
      </c>
      <c r="D33" t="s">
        <v>58</v>
      </c>
      <c r="E33" t="s">
        <v>202</v>
      </c>
      <c r="F33" t="s">
        <v>242</v>
      </c>
      <c r="G33" t="s">
        <v>13</v>
      </c>
      <c r="H33" t="s">
        <v>18</v>
      </c>
    </row>
    <row r="34" spans="1:8" x14ac:dyDescent="0.35">
      <c r="A34" t="str">
        <f t="shared" si="0"/>
        <v>C033</v>
      </c>
      <c r="B34" t="s">
        <v>141</v>
      </c>
      <c r="C34" t="s">
        <v>172</v>
      </c>
      <c r="D34" t="s">
        <v>185</v>
      </c>
      <c r="E34" t="s">
        <v>203</v>
      </c>
      <c r="F34" t="s">
        <v>243</v>
      </c>
      <c r="G34" t="s">
        <v>32</v>
      </c>
      <c r="H34" t="s">
        <v>37</v>
      </c>
    </row>
    <row r="35" spans="1:8" x14ac:dyDescent="0.35">
      <c r="A35" t="str">
        <f t="shared" si="0"/>
        <v>C034</v>
      </c>
      <c r="B35" t="s">
        <v>142</v>
      </c>
      <c r="C35" t="s">
        <v>173</v>
      </c>
      <c r="D35" t="s">
        <v>182</v>
      </c>
      <c r="E35" t="s">
        <v>204</v>
      </c>
      <c r="F35" t="s">
        <v>244</v>
      </c>
      <c r="G35" t="s">
        <v>190</v>
      </c>
      <c r="H35" t="s">
        <v>37</v>
      </c>
    </row>
    <row r="36" spans="1:8" x14ac:dyDescent="0.35">
      <c r="A36" t="str">
        <f t="shared" si="0"/>
        <v>C035</v>
      </c>
      <c r="B36" t="s">
        <v>143</v>
      </c>
      <c r="C36" t="s">
        <v>174</v>
      </c>
      <c r="D36" t="s">
        <v>182</v>
      </c>
      <c r="E36" t="s">
        <v>205</v>
      </c>
      <c r="F36" t="s">
        <v>245</v>
      </c>
      <c r="G36" t="s">
        <v>70</v>
      </c>
      <c r="H36" t="s">
        <v>37</v>
      </c>
    </row>
    <row r="37" spans="1:8" x14ac:dyDescent="0.35">
      <c r="A37" t="str">
        <f t="shared" si="0"/>
        <v>C036</v>
      </c>
      <c r="B37" t="s">
        <v>144</v>
      </c>
      <c r="C37" t="s">
        <v>175</v>
      </c>
      <c r="D37" t="s">
        <v>186</v>
      </c>
      <c r="E37" t="s">
        <v>206</v>
      </c>
      <c r="F37" t="s">
        <v>246</v>
      </c>
      <c r="G37" t="s">
        <v>190</v>
      </c>
      <c r="H37" t="s">
        <v>25</v>
      </c>
    </row>
    <row r="38" spans="1:8" x14ac:dyDescent="0.35">
      <c r="A38" t="str">
        <f t="shared" si="0"/>
        <v>C037</v>
      </c>
      <c r="B38" t="s">
        <v>145</v>
      </c>
      <c r="C38" t="s">
        <v>176</v>
      </c>
      <c r="D38" t="s">
        <v>187</v>
      </c>
      <c r="E38" t="s">
        <v>207</v>
      </c>
      <c r="F38" t="s">
        <v>247</v>
      </c>
      <c r="G38" t="s">
        <v>32</v>
      </c>
      <c r="H38" t="s">
        <v>14</v>
      </c>
    </row>
    <row r="39" spans="1:8" x14ac:dyDescent="0.35">
      <c r="A39" t="str">
        <f t="shared" si="0"/>
        <v>C038</v>
      </c>
      <c r="B39" t="s">
        <v>146</v>
      </c>
      <c r="C39" t="s">
        <v>177</v>
      </c>
      <c r="D39" t="s">
        <v>41</v>
      </c>
      <c r="E39" t="s">
        <v>208</v>
      </c>
      <c r="F39" t="s">
        <v>248</v>
      </c>
      <c r="G39" t="s">
        <v>190</v>
      </c>
      <c r="H39" t="s">
        <v>37</v>
      </c>
    </row>
    <row r="40" spans="1:8" x14ac:dyDescent="0.35">
      <c r="A40" t="str">
        <f t="shared" si="0"/>
        <v>C039</v>
      </c>
      <c r="B40" t="s">
        <v>147</v>
      </c>
      <c r="C40" t="s">
        <v>178</v>
      </c>
      <c r="D40" t="s">
        <v>188</v>
      </c>
      <c r="E40" t="s">
        <v>209</v>
      </c>
      <c r="F40" t="s">
        <v>249</v>
      </c>
      <c r="G40" t="s">
        <v>32</v>
      </c>
      <c r="H40" t="s">
        <v>25</v>
      </c>
    </row>
    <row r="41" spans="1:8" x14ac:dyDescent="0.35">
      <c r="A41" t="str">
        <f t="shared" si="0"/>
        <v>C040</v>
      </c>
      <c r="B41" t="s">
        <v>148</v>
      </c>
      <c r="C41" t="s">
        <v>179</v>
      </c>
      <c r="D41" t="s">
        <v>186</v>
      </c>
      <c r="E41" t="s">
        <v>210</v>
      </c>
      <c r="F41" t="s">
        <v>250</v>
      </c>
      <c r="G41" t="s">
        <v>70</v>
      </c>
      <c r="H4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4AA1-8127-475E-A5D8-CC9BC6A58B81}">
  <dimension ref="A1:G51"/>
  <sheetViews>
    <sheetView topLeftCell="A32" workbookViewId="0">
      <selection activeCell="H11" sqref="H11"/>
    </sheetView>
  </sheetViews>
  <sheetFormatPr defaultRowHeight="14.5" x14ac:dyDescent="0.35"/>
  <cols>
    <col min="1" max="1" width="7" bestFit="1" customWidth="1"/>
    <col min="2" max="2" width="11.08984375" customWidth="1"/>
    <col min="3" max="3" width="12.453125" customWidth="1"/>
    <col min="5" max="5" width="19.90625" customWidth="1"/>
    <col min="6" max="6" width="11.453125" customWidth="1"/>
    <col min="7" max="7" width="17.36328125" customWidth="1"/>
  </cols>
  <sheetData>
    <row r="1" spans="1:7" x14ac:dyDescent="0.35">
      <c r="A1" s="1" t="s">
        <v>112</v>
      </c>
      <c r="B1" s="1" t="s">
        <v>0</v>
      </c>
      <c r="C1" s="1" t="s">
        <v>113</v>
      </c>
      <c r="D1" s="1" t="s">
        <v>114</v>
      </c>
      <c r="E1" s="1" t="s">
        <v>115</v>
      </c>
      <c r="F1" s="1" t="s">
        <v>116</v>
      </c>
      <c r="G1" s="1" t="s">
        <v>117</v>
      </c>
    </row>
    <row r="2" spans="1:7" x14ac:dyDescent="0.35">
      <c r="A2" t="s">
        <v>251</v>
      </c>
      <c r="B2" t="s">
        <v>100</v>
      </c>
      <c r="C2" t="s">
        <v>252</v>
      </c>
      <c r="D2" t="s">
        <v>270</v>
      </c>
      <c r="E2" s="3">
        <v>787444</v>
      </c>
      <c r="F2" t="s">
        <v>253</v>
      </c>
      <c r="G2" s="2">
        <v>46201</v>
      </c>
    </row>
    <row r="3" spans="1:7" x14ac:dyDescent="0.35">
      <c r="A3" t="s">
        <v>254</v>
      </c>
      <c r="B3" t="s">
        <v>82</v>
      </c>
      <c r="C3" t="s">
        <v>258</v>
      </c>
      <c r="D3" t="s">
        <v>4</v>
      </c>
      <c r="E3" s="3">
        <v>709978</v>
      </c>
      <c r="F3" t="s">
        <v>259</v>
      </c>
      <c r="G3" s="2">
        <v>46246</v>
      </c>
    </row>
    <row r="4" spans="1:7" x14ac:dyDescent="0.35">
      <c r="A4" t="s">
        <v>257</v>
      </c>
      <c r="B4" t="s">
        <v>96</v>
      </c>
      <c r="C4" t="s">
        <v>252</v>
      </c>
      <c r="D4" t="s">
        <v>256</v>
      </c>
      <c r="E4" s="3">
        <v>783705</v>
      </c>
      <c r="F4" t="s">
        <v>263</v>
      </c>
      <c r="G4" s="2">
        <v>46091</v>
      </c>
    </row>
    <row r="5" spans="1:7" x14ac:dyDescent="0.35">
      <c r="A5" t="s">
        <v>260</v>
      </c>
      <c r="B5" t="s">
        <v>24</v>
      </c>
      <c r="C5" t="s">
        <v>290</v>
      </c>
      <c r="D5" t="s">
        <v>4</v>
      </c>
      <c r="E5" s="3">
        <v>414696</v>
      </c>
      <c r="F5" t="s">
        <v>253</v>
      </c>
      <c r="G5" s="2">
        <v>46135</v>
      </c>
    </row>
    <row r="6" spans="1:7" x14ac:dyDescent="0.35">
      <c r="A6" t="s">
        <v>264</v>
      </c>
      <c r="B6" t="s">
        <v>8</v>
      </c>
      <c r="C6" t="s">
        <v>255</v>
      </c>
      <c r="D6" t="s">
        <v>4</v>
      </c>
      <c r="E6" s="3">
        <v>954597</v>
      </c>
      <c r="F6" t="s">
        <v>263</v>
      </c>
      <c r="G6" s="2">
        <v>46274</v>
      </c>
    </row>
    <row r="7" spans="1:7" x14ac:dyDescent="0.35">
      <c r="A7" t="s">
        <v>265</v>
      </c>
      <c r="B7" t="s">
        <v>82</v>
      </c>
      <c r="C7" t="s">
        <v>284</v>
      </c>
      <c r="D7" t="s">
        <v>4</v>
      </c>
      <c r="E7" s="3">
        <v>764936</v>
      </c>
      <c r="F7" t="s">
        <v>263</v>
      </c>
      <c r="G7" s="2">
        <v>46033</v>
      </c>
    </row>
    <row r="8" spans="1:7" x14ac:dyDescent="0.35">
      <c r="A8" t="s">
        <v>266</v>
      </c>
      <c r="B8" t="s">
        <v>71</v>
      </c>
      <c r="C8" t="s">
        <v>252</v>
      </c>
      <c r="D8" t="s">
        <v>267</v>
      </c>
      <c r="E8" s="3">
        <v>154903</v>
      </c>
      <c r="F8" t="s">
        <v>253</v>
      </c>
      <c r="G8" s="2">
        <v>46270</v>
      </c>
    </row>
    <row r="9" spans="1:7" x14ac:dyDescent="0.35">
      <c r="A9" t="s">
        <v>268</v>
      </c>
      <c r="B9" t="s">
        <v>55</v>
      </c>
      <c r="C9" t="s">
        <v>255</v>
      </c>
      <c r="D9" t="s">
        <v>262</v>
      </c>
      <c r="E9" s="3">
        <v>410356</v>
      </c>
      <c r="F9" t="s">
        <v>263</v>
      </c>
      <c r="G9" s="2">
        <v>46341</v>
      </c>
    </row>
    <row r="10" spans="1:7" x14ac:dyDescent="0.35">
      <c r="A10" t="s">
        <v>271</v>
      </c>
      <c r="B10" t="s">
        <v>92</v>
      </c>
      <c r="C10" t="s">
        <v>255</v>
      </c>
      <c r="D10" t="s">
        <v>262</v>
      </c>
      <c r="E10" s="3">
        <v>260515</v>
      </c>
      <c r="F10" t="s">
        <v>259</v>
      </c>
      <c r="G10" s="2">
        <v>46191</v>
      </c>
    </row>
    <row r="11" spans="1:7" x14ac:dyDescent="0.35">
      <c r="A11" t="s">
        <v>272</v>
      </c>
      <c r="B11" t="s">
        <v>50</v>
      </c>
      <c r="C11" t="s">
        <v>261</v>
      </c>
      <c r="D11" t="s">
        <v>267</v>
      </c>
      <c r="E11" s="3">
        <v>524252</v>
      </c>
      <c r="F11" t="s">
        <v>263</v>
      </c>
      <c r="G11" s="2">
        <v>46224</v>
      </c>
    </row>
    <row r="12" spans="1:7" x14ac:dyDescent="0.35">
      <c r="A12" t="s">
        <v>273</v>
      </c>
      <c r="B12" t="s">
        <v>96</v>
      </c>
      <c r="C12" t="s">
        <v>284</v>
      </c>
      <c r="D12" t="s">
        <v>267</v>
      </c>
      <c r="E12" s="3">
        <v>641217</v>
      </c>
      <c r="F12" t="s">
        <v>263</v>
      </c>
      <c r="G12" s="2">
        <v>46185</v>
      </c>
    </row>
    <row r="13" spans="1:7" x14ac:dyDescent="0.35">
      <c r="A13" t="s">
        <v>274</v>
      </c>
      <c r="B13" t="s">
        <v>105</v>
      </c>
      <c r="C13" t="s">
        <v>255</v>
      </c>
      <c r="D13" t="s">
        <v>267</v>
      </c>
      <c r="E13" s="3">
        <v>179377</v>
      </c>
      <c r="F13" t="s">
        <v>253</v>
      </c>
      <c r="G13" s="2">
        <v>46183</v>
      </c>
    </row>
    <row r="14" spans="1:7" x14ac:dyDescent="0.35">
      <c r="A14" t="s">
        <v>275</v>
      </c>
      <c r="B14" t="s">
        <v>75</v>
      </c>
      <c r="C14" t="s">
        <v>258</v>
      </c>
      <c r="D14" t="s">
        <v>267</v>
      </c>
      <c r="E14" s="3">
        <v>823203</v>
      </c>
      <c r="F14" t="s">
        <v>259</v>
      </c>
      <c r="G14" s="2">
        <v>46219</v>
      </c>
    </row>
    <row r="15" spans="1:7" x14ac:dyDescent="0.35">
      <c r="A15" t="s">
        <v>276</v>
      </c>
      <c r="B15" t="s">
        <v>68</v>
      </c>
      <c r="C15" t="s">
        <v>269</v>
      </c>
      <c r="D15" t="s">
        <v>4</v>
      </c>
      <c r="E15" s="3">
        <v>942450</v>
      </c>
      <c r="F15" t="s">
        <v>253</v>
      </c>
      <c r="G15" s="2">
        <v>46165</v>
      </c>
    </row>
    <row r="16" spans="1:7" x14ac:dyDescent="0.35">
      <c r="A16" t="s">
        <v>277</v>
      </c>
      <c r="B16" t="s">
        <v>55</v>
      </c>
      <c r="C16" t="s">
        <v>284</v>
      </c>
      <c r="D16" t="s">
        <v>4</v>
      </c>
      <c r="E16" s="3">
        <v>565145</v>
      </c>
      <c r="F16" t="s">
        <v>259</v>
      </c>
      <c r="G16" s="2">
        <v>46200</v>
      </c>
    </row>
    <row r="17" spans="1:7" x14ac:dyDescent="0.35">
      <c r="A17" t="s">
        <v>278</v>
      </c>
      <c r="B17" t="s">
        <v>101</v>
      </c>
      <c r="C17" t="s">
        <v>258</v>
      </c>
      <c r="D17" t="s">
        <v>267</v>
      </c>
      <c r="E17" s="3">
        <v>840824</v>
      </c>
      <c r="F17" t="s">
        <v>263</v>
      </c>
      <c r="G17" s="2">
        <v>46054</v>
      </c>
    </row>
    <row r="18" spans="1:7" x14ac:dyDescent="0.35">
      <c r="A18" t="s">
        <v>279</v>
      </c>
      <c r="B18" t="s">
        <v>79</v>
      </c>
      <c r="C18" t="s">
        <v>261</v>
      </c>
      <c r="D18" t="s">
        <v>267</v>
      </c>
      <c r="E18" s="3">
        <v>556974</v>
      </c>
      <c r="F18" t="s">
        <v>253</v>
      </c>
      <c r="G18" s="2">
        <v>46161</v>
      </c>
    </row>
    <row r="19" spans="1:7" x14ac:dyDescent="0.35">
      <c r="A19" t="s">
        <v>280</v>
      </c>
      <c r="B19" t="s">
        <v>101</v>
      </c>
      <c r="C19" t="s">
        <v>269</v>
      </c>
      <c r="D19" t="s">
        <v>256</v>
      </c>
      <c r="E19" s="3">
        <v>186186</v>
      </c>
      <c r="F19" t="s">
        <v>259</v>
      </c>
      <c r="G19" s="2">
        <v>46147</v>
      </c>
    </row>
    <row r="20" spans="1:7" x14ac:dyDescent="0.35">
      <c r="A20" t="s">
        <v>281</v>
      </c>
      <c r="B20" t="s">
        <v>75</v>
      </c>
      <c r="C20" t="s">
        <v>252</v>
      </c>
      <c r="D20" t="s">
        <v>262</v>
      </c>
      <c r="E20" s="3">
        <v>788803</v>
      </c>
      <c r="F20" t="s">
        <v>253</v>
      </c>
      <c r="G20" s="2">
        <v>46262</v>
      </c>
    </row>
    <row r="21" spans="1:7" x14ac:dyDescent="0.35">
      <c r="A21" t="s">
        <v>282</v>
      </c>
      <c r="B21" t="s">
        <v>56</v>
      </c>
      <c r="C21" t="s">
        <v>269</v>
      </c>
      <c r="D21" t="s">
        <v>262</v>
      </c>
      <c r="E21" s="3">
        <v>217125</v>
      </c>
      <c r="F21" t="s">
        <v>259</v>
      </c>
      <c r="G21" s="2">
        <v>46156</v>
      </c>
    </row>
    <row r="22" spans="1:7" x14ac:dyDescent="0.35">
      <c r="A22" t="s">
        <v>283</v>
      </c>
      <c r="B22" t="s">
        <v>38</v>
      </c>
      <c r="C22" t="s">
        <v>255</v>
      </c>
      <c r="D22" t="s">
        <v>262</v>
      </c>
      <c r="E22" s="3">
        <v>609838</v>
      </c>
      <c r="F22" t="s">
        <v>259</v>
      </c>
      <c r="G22" s="2">
        <v>46045</v>
      </c>
    </row>
    <row r="23" spans="1:7" x14ac:dyDescent="0.35">
      <c r="A23" t="s">
        <v>285</v>
      </c>
      <c r="B23" t="s">
        <v>99</v>
      </c>
      <c r="C23" t="s">
        <v>261</v>
      </c>
      <c r="D23" t="s">
        <v>270</v>
      </c>
      <c r="E23" s="3">
        <v>344837</v>
      </c>
      <c r="F23" t="s">
        <v>259</v>
      </c>
      <c r="G23" s="2">
        <v>46275</v>
      </c>
    </row>
    <row r="24" spans="1:7" x14ac:dyDescent="0.35">
      <c r="A24" t="s">
        <v>286</v>
      </c>
      <c r="B24" t="s">
        <v>96</v>
      </c>
      <c r="C24" t="s">
        <v>258</v>
      </c>
      <c r="D24" t="s">
        <v>270</v>
      </c>
      <c r="E24" s="3">
        <v>84518</v>
      </c>
      <c r="F24" t="s">
        <v>259</v>
      </c>
      <c r="G24" s="2">
        <v>46047</v>
      </c>
    </row>
    <row r="25" spans="1:7" x14ac:dyDescent="0.35">
      <c r="A25" t="s">
        <v>287</v>
      </c>
      <c r="B25" t="s">
        <v>96</v>
      </c>
      <c r="C25" t="s">
        <v>255</v>
      </c>
      <c r="D25" t="s">
        <v>4</v>
      </c>
      <c r="E25" s="3">
        <v>167538</v>
      </c>
      <c r="F25" t="s">
        <v>253</v>
      </c>
      <c r="G25" s="2">
        <v>46162</v>
      </c>
    </row>
    <row r="26" spans="1:7" x14ac:dyDescent="0.35">
      <c r="A26" t="s">
        <v>288</v>
      </c>
      <c r="B26" t="s">
        <v>87</v>
      </c>
      <c r="C26" t="s">
        <v>252</v>
      </c>
      <c r="D26" t="s">
        <v>256</v>
      </c>
      <c r="E26" s="3">
        <v>269118</v>
      </c>
      <c r="F26" t="s">
        <v>259</v>
      </c>
      <c r="G26" s="2">
        <v>46036</v>
      </c>
    </row>
    <row r="27" spans="1:7" x14ac:dyDescent="0.35">
      <c r="A27" t="s">
        <v>289</v>
      </c>
      <c r="B27" t="s">
        <v>19</v>
      </c>
      <c r="C27" t="s">
        <v>252</v>
      </c>
      <c r="D27" t="s">
        <v>262</v>
      </c>
      <c r="E27" s="3">
        <v>283859</v>
      </c>
      <c r="F27" t="s">
        <v>253</v>
      </c>
      <c r="G27" s="2">
        <v>46032</v>
      </c>
    </row>
    <row r="28" spans="1:7" x14ac:dyDescent="0.35">
      <c r="A28" t="s">
        <v>291</v>
      </c>
      <c r="B28" t="s">
        <v>80</v>
      </c>
      <c r="C28" t="s">
        <v>269</v>
      </c>
      <c r="D28" t="s">
        <v>256</v>
      </c>
      <c r="E28" s="3">
        <v>460297</v>
      </c>
      <c r="F28" t="s">
        <v>259</v>
      </c>
      <c r="G28" s="2">
        <v>46292</v>
      </c>
    </row>
    <row r="29" spans="1:7" x14ac:dyDescent="0.35">
      <c r="A29" t="s">
        <v>292</v>
      </c>
      <c r="B29" t="s">
        <v>55</v>
      </c>
      <c r="C29" t="s">
        <v>269</v>
      </c>
      <c r="D29" t="s">
        <v>267</v>
      </c>
      <c r="E29" s="3">
        <v>124880</v>
      </c>
      <c r="F29" t="s">
        <v>263</v>
      </c>
      <c r="G29" s="2">
        <v>46137</v>
      </c>
    </row>
    <row r="30" spans="1:7" x14ac:dyDescent="0.35">
      <c r="A30" t="s">
        <v>293</v>
      </c>
      <c r="B30" t="s">
        <v>72</v>
      </c>
      <c r="C30" t="s">
        <v>269</v>
      </c>
      <c r="D30" t="s">
        <v>4</v>
      </c>
      <c r="E30" s="3">
        <v>453150</v>
      </c>
      <c r="F30" t="s">
        <v>253</v>
      </c>
      <c r="G30" s="2">
        <v>46368</v>
      </c>
    </row>
    <row r="31" spans="1:7" x14ac:dyDescent="0.35">
      <c r="A31" t="s">
        <v>294</v>
      </c>
      <c r="B31" t="s">
        <v>19</v>
      </c>
      <c r="C31" t="s">
        <v>255</v>
      </c>
      <c r="D31" t="s">
        <v>270</v>
      </c>
      <c r="E31" s="3">
        <v>590650</v>
      </c>
      <c r="F31" t="s">
        <v>259</v>
      </c>
      <c r="G31" s="2">
        <v>46086</v>
      </c>
    </row>
    <row r="32" spans="1:7" x14ac:dyDescent="0.35">
      <c r="A32" t="s">
        <v>295</v>
      </c>
      <c r="B32" t="s">
        <v>82</v>
      </c>
      <c r="C32" t="s">
        <v>261</v>
      </c>
      <c r="D32" t="s">
        <v>4</v>
      </c>
      <c r="E32" s="3">
        <v>651179</v>
      </c>
      <c r="F32" t="s">
        <v>259</v>
      </c>
      <c r="G32" s="2">
        <v>46109</v>
      </c>
    </row>
    <row r="33" spans="1:7" x14ac:dyDescent="0.35">
      <c r="A33" t="s">
        <v>296</v>
      </c>
      <c r="B33" t="s">
        <v>38</v>
      </c>
      <c r="C33" t="s">
        <v>255</v>
      </c>
      <c r="D33" t="s">
        <v>270</v>
      </c>
      <c r="E33" s="3">
        <v>206962</v>
      </c>
      <c r="F33" t="s">
        <v>263</v>
      </c>
      <c r="G33" s="2">
        <v>46348</v>
      </c>
    </row>
    <row r="34" spans="1:7" x14ac:dyDescent="0.35">
      <c r="A34" t="s">
        <v>297</v>
      </c>
      <c r="B34" t="s">
        <v>105</v>
      </c>
      <c r="C34" t="s">
        <v>258</v>
      </c>
      <c r="D34" t="s">
        <v>270</v>
      </c>
      <c r="E34" s="3">
        <v>647971</v>
      </c>
      <c r="F34" t="s">
        <v>253</v>
      </c>
      <c r="G34" s="2">
        <v>46083</v>
      </c>
    </row>
    <row r="35" spans="1:7" x14ac:dyDescent="0.35">
      <c r="A35" t="s">
        <v>298</v>
      </c>
      <c r="B35" t="s">
        <v>100</v>
      </c>
      <c r="C35" t="s">
        <v>261</v>
      </c>
      <c r="D35" t="s">
        <v>262</v>
      </c>
      <c r="E35" s="3">
        <v>108055</v>
      </c>
      <c r="F35" t="s">
        <v>263</v>
      </c>
      <c r="G35" s="2">
        <v>46340</v>
      </c>
    </row>
    <row r="36" spans="1:7" x14ac:dyDescent="0.35">
      <c r="A36" t="s">
        <v>299</v>
      </c>
      <c r="B36" t="s">
        <v>24</v>
      </c>
      <c r="C36" t="s">
        <v>269</v>
      </c>
      <c r="D36" t="s">
        <v>256</v>
      </c>
      <c r="E36" s="3">
        <v>646477</v>
      </c>
      <c r="F36" t="s">
        <v>263</v>
      </c>
      <c r="G36" s="2">
        <v>46362</v>
      </c>
    </row>
    <row r="37" spans="1:7" x14ac:dyDescent="0.35">
      <c r="A37" t="s">
        <v>300</v>
      </c>
      <c r="B37" t="s">
        <v>19</v>
      </c>
      <c r="C37" t="s">
        <v>252</v>
      </c>
      <c r="D37" t="s">
        <v>262</v>
      </c>
      <c r="E37" s="3">
        <v>575655</v>
      </c>
      <c r="F37" t="s">
        <v>259</v>
      </c>
      <c r="G37" s="2">
        <v>46286</v>
      </c>
    </row>
    <row r="38" spans="1:7" x14ac:dyDescent="0.35">
      <c r="A38" t="s">
        <v>301</v>
      </c>
      <c r="B38" t="s">
        <v>93</v>
      </c>
      <c r="C38" t="s">
        <v>255</v>
      </c>
      <c r="D38" t="s">
        <v>270</v>
      </c>
      <c r="E38" s="3">
        <v>373311</v>
      </c>
      <c r="F38" t="s">
        <v>263</v>
      </c>
      <c r="G38" s="2">
        <v>46256</v>
      </c>
    </row>
    <row r="39" spans="1:7" x14ac:dyDescent="0.35">
      <c r="A39" t="s">
        <v>302</v>
      </c>
      <c r="B39" t="s">
        <v>65</v>
      </c>
      <c r="C39" t="s">
        <v>284</v>
      </c>
      <c r="D39" t="s">
        <v>256</v>
      </c>
      <c r="E39" s="3">
        <v>389634</v>
      </c>
      <c r="F39" t="s">
        <v>259</v>
      </c>
      <c r="G39" s="2">
        <v>46152</v>
      </c>
    </row>
    <row r="40" spans="1:7" x14ac:dyDescent="0.35">
      <c r="A40" t="s">
        <v>303</v>
      </c>
      <c r="B40" t="s">
        <v>91</v>
      </c>
      <c r="C40" t="s">
        <v>258</v>
      </c>
      <c r="D40" t="s">
        <v>4</v>
      </c>
      <c r="E40" s="3">
        <v>203443</v>
      </c>
      <c r="F40" t="s">
        <v>253</v>
      </c>
      <c r="G40" s="2">
        <v>46276</v>
      </c>
    </row>
    <row r="41" spans="1:7" x14ac:dyDescent="0.35">
      <c r="A41" t="s">
        <v>304</v>
      </c>
      <c r="B41" t="s">
        <v>97</v>
      </c>
      <c r="C41" t="s">
        <v>261</v>
      </c>
      <c r="D41" t="s">
        <v>256</v>
      </c>
      <c r="E41" s="3">
        <v>538912</v>
      </c>
      <c r="F41" t="s">
        <v>253</v>
      </c>
      <c r="G41" s="2">
        <v>46377</v>
      </c>
    </row>
    <row r="42" spans="1:7" x14ac:dyDescent="0.35">
      <c r="A42" t="s">
        <v>305</v>
      </c>
      <c r="B42" t="s">
        <v>33</v>
      </c>
      <c r="C42" t="s">
        <v>290</v>
      </c>
      <c r="D42" t="s">
        <v>256</v>
      </c>
      <c r="E42" s="3">
        <v>346983</v>
      </c>
      <c r="F42" t="s">
        <v>259</v>
      </c>
      <c r="G42" s="2">
        <v>46251</v>
      </c>
    </row>
    <row r="43" spans="1:7" x14ac:dyDescent="0.35">
      <c r="A43" t="s">
        <v>306</v>
      </c>
      <c r="B43" t="s">
        <v>98</v>
      </c>
      <c r="C43" t="s">
        <v>258</v>
      </c>
      <c r="D43" t="s">
        <v>256</v>
      </c>
      <c r="E43" s="3">
        <v>449074</v>
      </c>
      <c r="F43" t="s">
        <v>253</v>
      </c>
      <c r="G43" s="2">
        <v>46298</v>
      </c>
    </row>
    <row r="44" spans="1:7" x14ac:dyDescent="0.35">
      <c r="A44" t="s">
        <v>307</v>
      </c>
      <c r="B44" t="s">
        <v>73</v>
      </c>
      <c r="C44" t="s">
        <v>284</v>
      </c>
      <c r="D44" t="s">
        <v>262</v>
      </c>
      <c r="E44" s="3">
        <v>821161</v>
      </c>
      <c r="F44" t="s">
        <v>259</v>
      </c>
      <c r="G44" s="2">
        <v>46194</v>
      </c>
    </row>
    <row r="45" spans="1:7" x14ac:dyDescent="0.35">
      <c r="A45" t="s">
        <v>308</v>
      </c>
      <c r="B45" t="s">
        <v>96</v>
      </c>
      <c r="C45" t="s">
        <v>284</v>
      </c>
      <c r="D45" t="s">
        <v>262</v>
      </c>
      <c r="E45" s="3">
        <v>105629</v>
      </c>
      <c r="F45" t="s">
        <v>253</v>
      </c>
      <c r="G45" s="2">
        <v>46056</v>
      </c>
    </row>
    <row r="46" spans="1:7" x14ac:dyDescent="0.35">
      <c r="A46" t="s">
        <v>309</v>
      </c>
      <c r="B46" t="s">
        <v>87</v>
      </c>
      <c r="C46" t="s">
        <v>252</v>
      </c>
      <c r="D46" t="s">
        <v>267</v>
      </c>
      <c r="E46" s="3">
        <v>235738</v>
      </c>
      <c r="F46" t="s">
        <v>263</v>
      </c>
      <c r="G46" s="2">
        <v>46378</v>
      </c>
    </row>
    <row r="47" spans="1:7" x14ac:dyDescent="0.35">
      <c r="A47" t="s">
        <v>310</v>
      </c>
      <c r="B47" t="s">
        <v>15</v>
      </c>
      <c r="C47" t="s">
        <v>252</v>
      </c>
      <c r="D47" t="s">
        <v>256</v>
      </c>
      <c r="E47" s="3">
        <v>570527</v>
      </c>
      <c r="F47" t="s">
        <v>263</v>
      </c>
      <c r="G47" s="2">
        <v>46307</v>
      </c>
    </row>
    <row r="48" spans="1:7" x14ac:dyDescent="0.35">
      <c r="A48" t="s">
        <v>311</v>
      </c>
      <c r="B48" t="s">
        <v>19</v>
      </c>
      <c r="C48" t="s">
        <v>284</v>
      </c>
      <c r="D48" t="s">
        <v>256</v>
      </c>
      <c r="E48" s="3">
        <v>84350</v>
      </c>
      <c r="F48" t="s">
        <v>253</v>
      </c>
      <c r="G48" s="2">
        <v>46154</v>
      </c>
    </row>
    <row r="49" spans="1:7" x14ac:dyDescent="0.35">
      <c r="A49" t="s">
        <v>312</v>
      </c>
      <c r="B49" t="s">
        <v>73</v>
      </c>
      <c r="C49" t="s">
        <v>258</v>
      </c>
      <c r="D49" t="s">
        <v>262</v>
      </c>
      <c r="E49" s="3">
        <v>659496</v>
      </c>
      <c r="F49" t="s">
        <v>263</v>
      </c>
      <c r="G49" s="2">
        <v>46170</v>
      </c>
    </row>
    <row r="50" spans="1:7" x14ac:dyDescent="0.35">
      <c r="A50" t="s">
        <v>313</v>
      </c>
      <c r="B50" t="s">
        <v>82</v>
      </c>
      <c r="C50" t="s">
        <v>252</v>
      </c>
      <c r="D50" t="s">
        <v>267</v>
      </c>
      <c r="E50" s="3">
        <v>76128</v>
      </c>
      <c r="F50" t="s">
        <v>263</v>
      </c>
      <c r="G50" s="2">
        <v>46319</v>
      </c>
    </row>
    <row r="51" spans="1:7" x14ac:dyDescent="0.35">
      <c r="A51" t="s">
        <v>314</v>
      </c>
      <c r="B51" t="s">
        <v>99</v>
      </c>
      <c r="C51" t="s">
        <v>290</v>
      </c>
      <c r="D51" t="s">
        <v>4</v>
      </c>
      <c r="E51" s="3">
        <v>66535</v>
      </c>
      <c r="F51" t="s">
        <v>263</v>
      </c>
      <c r="G51" s="2">
        <v>46236</v>
      </c>
    </row>
  </sheetData>
  <dataValidations count="3">
    <dataValidation type="list" allowBlank="1" showInputMessage="1" showErrorMessage="1" sqref="C2:C100" xr:uid="{BA7564BB-274B-45F3-B39F-03368092BD33}">
      <formula1>"New,Contacted,Qualified,Proposal Sent,Negotiation,Won,Lost"</formula1>
    </dataValidation>
    <dataValidation type="list" allowBlank="1" showInputMessage="1" showErrorMessage="1" sqref="F2:F100" xr:uid="{AC3A6AC0-680B-4DDA-9514-5E2B593AD78F}">
      <formula1>"High,Medium,Low"</formula1>
    </dataValidation>
    <dataValidation type="list" allowBlank="1" showInputMessage="1" showErrorMessage="1" sqref="D2:D100" xr:uid="{33501031-97BC-4655-84A5-B8FAA95FED23}">
      <formula1>"Website,Referral,Email,LinkedIn,Phone Call"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2027C-1E25-467D-A1F2-11B28CDAB574}">
  <dimension ref="A1:G31"/>
  <sheetViews>
    <sheetView topLeftCell="A12" workbookViewId="0">
      <selection activeCell="I10" sqref="I10"/>
    </sheetView>
  </sheetViews>
  <sheetFormatPr defaultRowHeight="14.5" x14ac:dyDescent="0.35"/>
  <cols>
    <col min="1" max="1" width="13.36328125" bestFit="1" customWidth="1"/>
    <col min="2" max="2" width="11.1796875" bestFit="1" customWidth="1"/>
    <col min="3" max="3" width="15.26953125" bestFit="1" customWidth="1"/>
    <col min="4" max="4" width="12.7265625" bestFit="1" customWidth="1"/>
    <col min="5" max="5" width="13" bestFit="1" customWidth="1"/>
    <col min="6" max="6" width="11.08984375" bestFit="1" customWidth="1"/>
    <col min="7" max="7" width="10.81640625" bestFit="1" customWidth="1"/>
  </cols>
  <sheetData>
    <row r="1" spans="1:7" x14ac:dyDescent="0.35">
      <c r="A1" t="s">
        <v>118</v>
      </c>
      <c r="B1" t="s">
        <v>0</v>
      </c>
      <c r="C1" t="s">
        <v>119</v>
      </c>
      <c r="D1" t="s">
        <v>120</v>
      </c>
      <c r="E1" t="s">
        <v>121</v>
      </c>
      <c r="F1" t="s">
        <v>122</v>
      </c>
      <c r="G1" t="s">
        <v>123</v>
      </c>
    </row>
    <row r="2" spans="1:7" x14ac:dyDescent="0.35">
      <c r="A2" t="s">
        <v>315</v>
      </c>
      <c r="B2" t="s">
        <v>90</v>
      </c>
      <c r="C2" t="s">
        <v>319</v>
      </c>
      <c r="D2" s="3">
        <v>1977740</v>
      </c>
      <c r="E2">
        <v>90</v>
      </c>
      <c r="F2" s="2">
        <v>46067</v>
      </c>
      <c r="G2" t="s">
        <v>317</v>
      </c>
    </row>
    <row r="3" spans="1:7" x14ac:dyDescent="0.35">
      <c r="A3" t="s">
        <v>318</v>
      </c>
      <c r="B3" t="s">
        <v>38</v>
      </c>
      <c r="C3" t="s">
        <v>316</v>
      </c>
      <c r="D3" s="3">
        <v>1266357</v>
      </c>
      <c r="E3">
        <v>48</v>
      </c>
      <c r="F3" s="2">
        <v>46260</v>
      </c>
      <c r="G3" t="s">
        <v>326</v>
      </c>
    </row>
    <row r="4" spans="1:7" x14ac:dyDescent="0.35">
      <c r="A4" t="s">
        <v>321</v>
      </c>
      <c r="B4" t="s">
        <v>46</v>
      </c>
      <c r="C4" t="s">
        <v>328</v>
      </c>
      <c r="D4" s="3">
        <v>1788799</v>
      </c>
      <c r="E4">
        <v>98</v>
      </c>
      <c r="F4" s="2">
        <v>46322</v>
      </c>
      <c r="G4" t="s">
        <v>337</v>
      </c>
    </row>
    <row r="5" spans="1:7" x14ac:dyDescent="0.35">
      <c r="A5" t="s">
        <v>323</v>
      </c>
      <c r="B5" t="s">
        <v>105</v>
      </c>
      <c r="C5" t="s">
        <v>322</v>
      </c>
      <c r="D5" s="3">
        <v>1078589</v>
      </c>
      <c r="E5">
        <v>55</v>
      </c>
      <c r="F5" s="2">
        <v>46351</v>
      </c>
      <c r="G5" t="s">
        <v>317</v>
      </c>
    </row>
    <row r="6" spans="1:7" x14ac:dyDescent="0.35">
      <c r="A6" t="s">
        <v>324</v>
      </c>
      <c r="B6" t="s">
        <v>82</v>
      </c>
      <c r="C6" t="s">
        <v>322</v>
      </c>
      <c r="D6" s="3">
        <v>956441</v>
      </c>
      <c r="E6">
        <v>79</v>
      </c>
      <c r="F6" s="2">
        <v>46065</v>
      </c>
      <c r="G6" t="s">
        <v>269</v>
      </c>
    </row>
    <row r="7" spans="1:7" x14ac:dyDescent="0.35">
      <c r="A7" t="s">
        <v>327</v>
      </c>
      <c r="B7" t="s">
        <v>79</v>
      </c>
      <c r="C7" t="s">
        <v>328</v>
      </c>
      <c r="D7" s="3">
        <v>1929739</v>
      </c>
      <c r="E7">
        <v>17</v>
      </c>
      <c r="F7" s="2">
        <v>46056</v>
      </c>
      <c r="G7" t="s">
        <v>320</v>
      </c>
    </row>
    <row r="8" spans="1:7" x14ac:dyDescent="0.35">
      <c r="A8" t="s">
        <v>329</v>
      </c>
      <c r="B8" t="s">
        <v>71</v>
      </c>
      <c r="C8" t="s">
        <v>322</v>
      </c>
      <c r="D8" s="3">
        <v>784172</v>
      </c>
      <c r="E8">
        <v>58</v>
      </c>
      <c r="F8" s="2">
        <v>46085</v>
      </c>
      <c r="G8" t="s">
        <v>326</v>
      </c>
    </row>
    <row r="9" spans="1:7" x14ac:dyDescent="0.35">
      <c r="A9" t="s">
        <v>331</v>
      </c>
      <c r="B9" t="s">
        <v>81</v>
      </c>
      <c r="C9" t="s">
        <v>316</v>
      </c>
      <c r="D9" s="3">
        <v>796882</v>
      </c>
      <c r="E9">
        <v>34</v>
      </c>
      <c r="F9" s="2">
        <v>46376</v>
      </c>
      <c r="G9" t="s">
        <v>320</v>
      </c>
    </row>
    <row r="10" spans="1:7" x14ac:dyDescent="0.35">
      <c r="A10" t="s">
        <v>333</v>
      </c>
      <c r="B10" t="s">
        <v>29</v>
      </c>
      <c r="C10" t="s">
        <v>316</v>
      </c>
      <c r="D10" s="3">
        <v>507200</v>
      </c>
      <c r="E10">
        <v>29</v>
      </c>
      <c r="F10" s="2">
        <v>46144</v>
      </c>
      <c r="G10" t="s">
        <v>320</v>
      </c>
    </row>
    <row r="11" spans="1:7" x14ac:dyDescent="0.35">
      <c r="A11" t="s">
        <v>334</v>
      </c>
      <c r="B11" t="s">
        <v>96</v>
      </c>
      <c r="C11" t="s">
        <v>322</v>
      </c>
      <c r="D11" s="3">
        <v>1964869</v>
      </c>
      <c r="E11">
        <v>92</v>
      </c>
      <c r="F11" s="2">
        <v>46226</v>
      </c>
      <c r="G11" t="s">
        <v>317</v>
      </c>
    </row>
    <row r="12" spans="1:7" x14ac:dyDescent="0.35">
      <c r="A12" t="s">
        <v>336</v>
      </c>
      <c r="B12" t="s">
        <v>55</v>
      </c>
      <c r="C12" t="s">
        <v>325</v>
      </c>
      <c r="D12" s="3">
        <v>518405</v>
      </c>
      <c r="E12">
        <v>82</v>
      </c>
      <c r="F12" s="2">
        <v>46344</v>
      </c>
      <c r="G12" t="s">
        <v>326</v>
      </c>
    </row>
    <row r="13" spans="1:7" x14ac:dyDescent="0.35">
      <c r="A13" t="s">
        <v>338</v>
      </c>
      <c r="B13" t="s">
        <v>80</v>
      </c>
      <c r="C13" t="s">
        <v>316</v>
      </c>
      <c r="D13" s="3">
        <v>1303718</v>
      </c>
      <c r="E13">
        <v>76</v>
      </c>
      <c r="F13" s="2">
        <v>46272</v>
      </c>
      <c r="G13" t="s">
        <v>326</v>
      </c>
    </row>
    <row r="14" spans="1:7" x14ac:dyDescent="0.35">
      <c r="A14" t="s">
        <v>339</v>
      </c>
      <c r="B14" t="s">
        <v>104</v>
      </c>
      <c r="C14" t="s">
        <v>330</v>
      </c>
      <c r="D14" s="3">
        <v>789721</v>
      </c>
      <c r="E14">
        <v>52</v>
      </c>
      <c r="F14" s="2">
        <v>46363</v>
      </c>
      <c r="G14" t="s">
        <v>320</v>
      </c>
    </row>
    <row r="15" spans="1:7" x14ac:dyDescent="0.35">
      <c r="A15" t="s">
        <v>340</v>
      </c>
      <c r="B15" t="s">
        <v>24</v>
      </c>
      <c r="C15" t="s">
        <v>335</v>
      </c>
      <c r="D15" s="3">
        <v>1697727</v>
      </c>
      <c r="E15">
        <v>93</v>
      </c>
      <c r="F15" s="2">
        <v>46259</v>
      </c>
      <c r="G15" t="s">
        <v>269</v>
      </c>
    </row>
    <row r="16" spans="1:7" x14ac:dyDescent="0.35">
      <c r="A16" t="s">
        <v>341</v>
      </c>
      <c r="B16" t="s">
        <v>91</v>
      </c>
      <c r="C16" t="s">
        <v>319</v>
      </c>
      <c r="D16" s="3">
        <v>1731494</v>
      </c>
      <c r="E16">
        <v>46</v>
      </c>
      <c r="F16" s="2">
        <v>46186</v>
      </c>
      <c r="G16" t="s">
        <v>320</v>
      </c>
    </row>
    <row r="17" spans="1:7" x14ac:dyDescent="0.35">
      <c r="A17" t="s">
        <v>342</v>
      </c>
      <c r="B17" t="s">
        <v>45</v>
      </c>
      <c r="C17" t="s">
        <v>335</v>
      </c>
      <c r="D17" s="3">
        <v>964529</v>
      </c>
      <c r="E17">
        <v>85</v>
      </c>
      <c r="F17" s="2">
        <v>46075</v>
      </c>
      <c r="G17" t="s">
        <v>326</v>
      </c>
    </row>
    <row r="18" spans="1:7" x14ac:dyDescent="0.35">
      <c r="A18" t="s">
        <v>343</v>
      </c>
      <c r="B18" t="s">
        <v>72</v>
      </c>
      <c r="C18" t="s">
        <v>330</v>
      </c>
      <c r="D18" s="3">
        <v>466359</v>
      </c>
      <c r="E18">
        <v>84</v>
      </c>
      <c r="F18" s="2">
        <v>46106</v>
      </c>
      <c r="G18" t="s">
        <v>269</v>
      </c>
    </row>
    <row r="19" spans="1:7" x14ac:dyDescent="0.35">
      <c r="A19" t="s">
        <v>344</v>
      </c>
      <c r="B19" t="s">
        <v>79</v>
      </c>
      <c r="C19" t="s">
        <v>322</v>
      </c>
      <c r="D19" s="3">
        <v>392628</v>
      </c>
      <c r="E19">
        <v>23</v>
      </c>
      <c r="F19" s="2">
        <v>46313</v>
      </c>
      <c r="G19" t="s">
        <v>317</v>
      </c>
    </row>
    <row r="20" spans="1:7" x14ac:dyDescent="0.35">
      <c r="A20" t="s">
        <v>345</v>
      </c>
      <c r="B20" t="s">
        <v>81</v>
      </c>
      <c r="C20" t="s">
        <v>332</v>
      </c>
      <c r="D20" s="3">
        <v>1825370</v>
      </c>
      <c r="E20">
        <v>83</v>
      </c>
      <c r="F20" s="2">
        <v>46091</v>
      </c>
      <c r="G20" t="s">
        <v>317</v>
      </c>
    </row>
    <row r="21" spans="1:7" x14ac:dyDescent="0.35">
      <c r="A21" t="s">
        <v>346</v>
      </c>
      <c r="B21" t="s">
        <v>87</v>
      </c>
      <c r="C21" t="s">
        <v>330</v>
      </c>
      <c r="D21" s="3">
        <v>1684342</v>
      </c>
      <c r="E21">
        <v>67</v>
      </c>
      <c r="F21" s="2">
        <v>46178</v>
      </c>
      <c r="G21" t="s">
        <v>317</v>
      </c>
    </row>
    <row r="22" spans="1:7" x14ac:dyDescent="0.35">
      <c r="A22" t="s">
        <v>347</v>
      </c>
      <c r="B22" t="s">
        <v>38</v>
      </c>
      <c r="C22" t="s">
        <v>325</v>
      </c>
      <c r="D22" s="3">
        <v>1283954</v>
      </c>
      <c r="E22">
        <v>35</v>
      </c>
      <c r="F22" s="2">
        <v>46337</v>
      </c>
      <c r="G22" t="s">
        <v>320</v>
      </c>
    </row>
    <row r="23" spans="1:7" x14ac:dyDescent="0.35">
      <c r="A23" t="s">
        <v>348</v>
      </c>
      <c r="B23" t="s">
        <v>26</v>
      </c>
      <c r="C23" t="s">
        <v>322</v>
      </c>
      <c r="D23" s="3">
        <v>1930180</v>
      </c>
      <c r="E23">
        <v>15</v>
      </c>
      <c r="F23" s="2">
        <v>46169</v>
      </c>
      <c r="G23" t="s">
        <v>317</v>
      </c>
    </row>
    <row r="24" spans="1:7" x14ac:dyDescent="0.35">
      <c r="A24" t="s">
        <v>349</v>
      </c>
      <c r="B24" t="s">
        <v>92</v>
      </c>
      <c r="C24" t="s">
        <v>332</v>
      </c>
      <c r="D24" s="3">
        <v>1206046</v>
      </c>
      <c r="E24">
        <v>54</v>
      </c>
      <c r="F24" s="2">
        <v>46268</v>
      </c>
      <c r="G24" t="s">
        <v>326</v>
      </c>
    </row>
    <row r="25" spans="1:7" x14ac:dyDescent="0.35">
      <c r="A25" t="s">
        <v>350</v>
      </c>
      <c r="B25" t="s">
        <v>50</v>
      </c>
      <c r="C25" t="s">
        <v>322</v>
      </c>
      <c r="D25" s="3">
        <v>1884998</v>
      </c>
      <c r="E25">
        <v>78</v>
      </c>
      <c r="F25" s="2">
        <v>46139</v>
      </c>
      <c r="G25" t="s">
        <v>317</v>
      </c>
    </row>
    <row r="26" spans="1:7" x14ac:dyDescent="0.35">
      <c r="A26" t="s">
        <v>351</v>
      </c>
      <c r="B26" t="s">
        <v>75</v>
      </c>
      <c r="C26" t="s">
        <v>335</v>
      </c>
      <c r="D26" s="3">
        <v>1048843</v>
      </c>
      <c r="E26">
        <v>64</v>
      </c>
      <c r="F26" s="2">
        <v>46098</v>
      </c>
      <c r="G26" t="s">
        <v>337</v>
      </c>
    </row>
    <row r="27" spans="1:7" x14ac:dyDescent="0.35">
      <c r="A27" t="s">
        <v>352</v>
      </c>
      <c r="B27" t="s">
        <v>98</v>
      </c>
      <c r="C27" t="s">
        <v>332</v>
      </c>
      <c r="D27" s="3">
        <v>1382849</v>
      </c>
      <c r="E27">
        <v>63</v>
      </c>
      <c r="F27" s="2">
        <v>46350</v>
      </c>
      <c r="G27" t="s">
        <v>320</v>
      </c>
    </row>
    <row r="28" spans="1:7" x14ac:dyDescent="0.35">
      <c r="A28" t="s">
        <v>353</v>
      </c>
      <c r="B28" t="s">
        <v>92</v>
      </c>
      <c r="C28" t="s">
        <v>330</v>
      </c>
      <c r="D28" s="3">
        <v>458394</v>
      </c>
      <c r="E28">
        <v>70</v>
      </c>
      <c r="F28" s="2">
        <v>46024</v>
      </c>
      <c r="G28" t="s">
        <v>326</v>
      </c>
    </row>
    <row r="29" spans="1:7" x14ac:dyDescent="0.35">
      <c r="A29" t="s">
        <v>354</v>
      </c>
      <c r="B29" t="s">
        <v>91</v>
      </c>
      <c r="C29" t="s">
        <v>325</v>
      </c>
      <c r="D29" s="3">
        <v>930098</v>
      </c>
      <c r="E29">
        <v>59</v>
      </c>
      <c r="F29" s="2">
        <v>46341</v>
      </c>
      <c r="G29" t="s">
        <v>326</v>
      </c>
    </row>
    <row r="30" spans="1:7" x14ac:dyDescent="0.35">
      <c r="A30" t="s">
        <v>355</v>
      </c>
      <c r="B30" t="s">
        <v>29</v>
      </c>
      <c r="C30" t="s">
        <v>335</v>
      </c>
      <c r="D30" s="3">
        <v>1649521</v>
      </c>
      <c r="E30">
        <v>65</v>
      </c>
      <c r="F30" s="2">
        <v>46046</v>
      </c>
      <c r="G30" t="s">
        <v>269</v>
      </c>
    </row>
    <row r="31" spans="1:7" x14ac:dyDescent="0.35">
      <c r="A31" t="s">
        <v>356</v>
      </c>
      <c r="B31" t="s">
        <v>8</v>
      </c>
      <c r="C31" t="s">
        <v>322</v>
      </c>
      <c r="D31" s="3">
        <v>1579990</v>
      </c>
      <c r="E31">
        <v>90</v>
      </c>
      <c r="F31" s="2">
        <v>46327</v>
      </c>
      <c r="G31" t="s">
        <v>317</v>
      </c>
    </row>
  </sheetData>
  <dataValidations disablePrompts="1" count="1">
    <dataValidation type="list" allowBlank="1" showInputMessage="1" showErrorMessage="1" sqref="G2:G100" xr:uid="{D937C39A-BCF1-4839-8B76-979AE8685DFC}">
      <formula1>"Prospecting,Proposal,Negotiation,Closed Won,Closed Lost"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D2EF-EB87-4434-9E48-79E88A876FF1}">
  <dimension ref="A1:F27"/>
  <sheetViews>
    <sheetView topLeftCell="A10" workbookViewId="0">
      <selection activeCell="H5" sqref="H5"/>
    </sheetView>
  </sheetViews>
  <sheetFormatPr defaultRowHeight="14.5" x14ac:dyDescent="0.35"/>
  <cols>
    <col min="1" max="1" width="11.54296875" bestFit="1" customWidth="1"/>
    <col min="2" max="2" width="11.1796875" bestFit="1" customWidth="1"/>
    <col min="3" max="3" width="13.7265625" bestFit="1" customWidth="1"/>
    <col min="4" max="4" width="13.6328125" bestFit="1" customWidth="1"/>
    <col min="5" max="5" width="22.36328125" bestFit="1" customWidth="1"/>
    <col min="6" max="6" width="9.90625" bestFit="1" customWidth="1"/>
  </cols>
  <sheetData>
    <row r="1" spans="1:6" x14ac:dyDescent="0.35">
      <c r="A1" t="s">
        <v>124</v>
      </c>
      <c r="B1" t="s">
        <v>0</v>
      </c>
      <c r="C1" t="s">
        <v>125</v>
      </c>
      <c r="D1" t="s">
        <v>126</v>
      </c>
      <c r="E1" t="s">
        <v>127</v>
      </c>
      <c r="F1" t="s">
        <v>128</v>
      </c>
    </row>
    <row r="2" spans="1:6" x14ac:dyDescent="0.35">
      <c r="A2" t="s">
        <v>357</v>
      </c>
      <c r="B2" t="s">
        <v>50</v>
      </c>
      <c r="C2" s="2">
        <v>46349</v>
      </c>
      <c r="D2" s="2">
        <v>46356</v>
      </c>
      <c r="E2" t="s">
        <v>368</v>
      </c>
      <c r="F2" t="s">
        <v>359</v>
      </c>
    </row>
    <row r="3" spans="1:6" x14ac:dyDescent="0.35">
      <c r="A3" t="s">
        <v>360</v>
      </c>
      <c r="B3" t="s">
        <v>56</v>
      </c>
      <c r="C3" s="2">
        <v>46080</v>
      </c>
      <c r="D3" s="2">
        <v>46087</v>
      </c>
      <c r="E3" t="s">
        <v>375</v>
      </c>
      <c r="F3" t="s">
        <v>373</v>
      </c>
    </row>
    <row r="4" spans="1:6" x14ac:dyDescent="0.35">
      <c r="A4" t="s">
        <v>363</v>
      </c>
      <c r="B4" t="s">
        <v>100</v>
      </c>
      <c r="C4" s="2">
        <v>46338</v>
      </c>
      <c r="D4" s="2">
        <v>46344</v>
      </c>
      <c r="E4" t="s">
        <v>379</v>
      </c>
      <c r="F4" t="s">
        <v>362</v>
      </c>
    </row>
    <row r="5" spans="1:6" x14ac:dyDescent="0.35">
      <c r="A5" t="s">
        <v>364</v>
      </c>
      <c r="B5" t="s">
        <v>68</v>
      </c>
      <c r="C5" s="2">
        <v>46306</v>
      </c>
      <c r="D5" s="2">
        <v>46317</v>
      </c>
      <c r="E5" t="s">
        <v>365</v>
      </c>
      <c r="F5" t="s">
        <v>362</v>
      </c>
    </row>
    <row r="6" spans="1:6" x14ac:dyDescent="0.35">
      <c r="A6" t="s">
        <v>366</v>
      </c>
      <c r="B6" t="s">
        <v>72</v>
      </c>
      <c r="C6" s="2">
        <v>46048</v>
      </c>
      <c r="D6" s="2">
        <v>46057</v>
      </c>
      <c r="E6" t="s">
        <v>372</v>
      </c>
      <c r="F6" t="s">
        <v>359</v>
      </c>
    </row>
    <row r="7" spans="1:6" x14ac:dyDescent="0.35">
      <c r="A7" t="s">
        <v>367</v>
      </c>
      <c r="B7" t="s">
        <v>73</v>
      </c>
      <c r="C7" s="2">
        <v>46054</v>
      </c>
      <c r="D7" s="2">
        <v>46069</v>
      </c>
      <c r="E7" t="s">
        <v>384</v>
      </c>
      <c r="F7" t="s">
        <v>362</v>
      </c>
    </row>
    <row r="8" spans="1:6" x14ac:dyDescent="0.35">
      <c r="A8" t="s">
        <v>369</v>
      </c>
      <c r="B8" t="s">
        <v>99</v>
      </c>
      <c r="C8" s="2">
        <v>46206</v>
      </c>
      <c r="D8" s="2">
        <v>46215</v>
      </c>
      <c r="E8" t="s">
        <v>375</v>
      </c>
      <c r="F8" t="s">
        <v>362</v>
      </c>
    </row>
    <row r="9" spans="1:6" x14ac:dyDescent="0.35">
      <c r="A9" t="s">
        <v>370</v>
      </c>
      <c r="B9" t="s">
        <v>60</v>
      </c>
      <c r="C9" s="2">
        <v>46253</v>
      </c>
      <c r="D9" s="2">
        <v>46257</v>
      </c>
      <c r="E9" t="s">
        <v>368</v>
      </c>
      <c r="F9" t="s">
        <v>359</v>
      </c>
    </row>
    <row r="10" spans="1:6" x14ac:dyDescent="0.35">
      <c r="A10" t="s">
        <v>371</v>
      </c>
      <c r="B10" t="s">
        <v>105</v>
      </c>
      <c r="C10" s="2">
        <v>46370</v>
      </c>
      <c r="D10" s="2">
        <v>46379</v>
      </c>
      <c r="E10" t="s">
        <v>379</v>
      </c>
      <c r="F10" t="s">
        <v>359</v>
      </c>
    </row>
    <row r="11" spans="1:6" x14ac:dyDescent="0.35">
      <c r="A11" t="s">
        <v>374</v>
      </c>
      <c r="B11" t="s">
        <v>99</v>
      </c>
      <c r="C11" s="2">
        <v>46221</v>
      </c>
      <c r="D11" s="2">
        <v>46224</v>
      </c>
      <c r="E11" t="s">
        <v>372</v>
      </c>
      <c r="F11" t="s">
        <v>359</v>
      </c>
    </row>
    <row r="12" spans="1:6" x14ac:dyDescent="0.35">
      <c r="A12" t="s">
        <v>376</v>
      </c>
      <c r="B12" t="s">
        <v>79</v>
      </c>
      <c r="C12" s="2">
        <v>46341</v>
      </c>
      <c r="D12" s="2">
        <v>46353</v>
      </c>
      <c r="E12" t="s">
        <v>379</v>
      </c>
      <c r="F12" t="s">
        <v>359</v>
      </c>
    </row>
    <row r="13" spans="1:6" x14ac:dyDescent="0.35">
      <c r="A13" t="s">
        <v>377</v>
      </c>
      <c r="B13" t="s">
        <v>75</v>
      </c>
      <c r="C13" s="2">
        <v>46258</v>
      </c>
      <c r="D13" s="2">
        <v>46262</v>
      </c>
      <c r="E13" t="s">
        <v>361</v>
      </c>
      <c r="F13" t="s">
        <v>362</v>
      </c>
    </row>
    <row r="14" spans="1:6" x14ac:dyDescent="0.35">
      <c r="A14" t="s">
        <v>378</v>
      </c>
      <c r="B14" t="s">
        <v>79</v>
      </c>
      <c r="C14" s="2">
        <v>46310</v>
      </c>
      <c r="D14" s="2">
        <v>46319</v>
      </c>
      <c r="E14" t="s">
        <v>372</v>
      </c>
      <c r="F14" t="s">
        <v>362</v>
      </c>
    </row>
    <row r="15" spans="1:6" x14ac:dyDescent="0.35">
      <c r="A15" t="s">
        <v>380</v>
      </c>
      <c r="B15" t="s">
        <v>24</v>
      </c>
      <c r="C15" s="2">
        <v>46045</v>
      </c>
      <c r="D15" s="2">
        <v>46060</v>
      </c>
      <c r="E15" t="s">
        <v>358</v>
      </c>
      <c r="F15" t="s">
        <v>373</v>
      </c>
    </row>
    <row r="16" spans="1:6" x14ac:dyDescent="0.35">
      <c r="A16" t="s">
        <v>381</v>
      </c>
      <c r="B16" t="s">
        <v>92</v>
      </c>
      <c r="C16" s="2">
        <v>46273</v>
      </c>
      <c r="D16" s="2">
        <v>46283</v>
      </c>
      <c r="E16" t="s">
        <v>368</v>
      </c>
      <c r="F16" t="s">
        <v>359</v>
      </c>
    </row>
    <row r="17" spans="1:6" x14ac:dyDescent="0.35">
      <c r="A17" t="s">
        <v>382</v>
      </c>
      <c r="B17" t="s">
        <v>98</v>
      </c>
      <c r="C17" s="2">
        <v>46287</v>
      </c>
      <c r="D17" s="2">
        <v>46299</v>
      </c>
      <c r="E17" t="s">
        <v>379</v>
      </c>
      <c r="F17" t="s">
        <v>359</v>
      </c>
    </row>
    <row r="18" spans="1:6" x14ac:dyDescent="0.35">
      <c r="A18" t="s">
        <v>383</v>
      </c>
      <c r="B18" t="s">
        <v>56</v>
      </c>
      <c r="C18" s="2">
        <v>46238</v>
      </c>
      <c r="D18" s="2">
        <v>46249</v>
      </c>
      <c r="E18" t="s">
        <v>375</v>
      </c>
      <c r="F18" t="s">
        <v>362</v>
      </c>
    </row>
    <row r="19" spans="1:6" x14ac:dyDescent="0.35">
      <c r="A19" t="s">
        <v>385</v>
      </c>
      <c r="B19" t="s">
        <v>55</v>
      </c>
      <c r="C19" s="2">
        <v>46384</v>
      </c>
      <c r="D19" s="2">
        <v>46393</v>
      </c>
      <c r="E19" t="s">
        <v>375</v>
      </c>
      <c r="F19" t="s">
        <v>373</v>
      </c>
    </row>
    <row r="20" spans="1:6" x14ac:dyDescent="0.35">
      <c r="A20" t="s">
        <v>386</v>
      </c>
      <c r="B20" t="s">
        <v>19</v>
      </c>
      <c r="C20" s="2">
        <v>46323</v>
      </c>
      <c r="D20" s="2">
        <v>46335</v>
      </c>
      <c r="E20" t="s">
        <v>361</v>
      </c>
      <c r="F20" t="s">
        <v>373</v>
      </c>
    </row>
    <row r="21" spans="1:6" x14ac:dyDescent="0.35">
      <c r="A21" t="s">
        <v>387</v>
      </c>
      <c r="B21" t="s">
        <v>52</v>
      </c>
      <c r="C21" s="2">
        <v>46026</v>
      </c>
      <c r="D21" s="2">
        <v>46033</v>
      </c>
      <c r="E21" t="s">
        <v>372</v>
      </c>
      <c r="F21" t="s">
        <v>362</v>
      </c>
    </row>
    <row r="22" spans="1:6" x14ac:dyDescent="0.35">
      <c r="A22" t="s">
        <v>388</v>
      </c>
      <c r="B22" t="s">
        <v>87</v>
      </c>
      <c r="C22" s="2">
        <v>46092</v>
      </c>
      <c r="D22" s="2">
        <v>46099</v>
      </c>
      <c r="E22" t="s">
        <v>361</v>
      </c>
      <c r="F22" t="s">
        <v>373</v>
      </c>
    </row>
    <row r="23" spans="1:6" x14ac:dyDescent="0.35">
      <c r="A23" t="s">
        <v>389</v>
      </c>
      <c r="B23" t="s">
        <v>105</v>
      </c>
      <c r="C23" s="2">
        <v>46242</v>
      </c>
      <c r="D23" s="2">
        <v>46251</v>
      </c>
      <c r="E23" t="s">
        <v>372</v>
      </c>
      <c r="F23" t="s">
        <v>373</v>
      </c>
    </row>
    <row r="24" spans="1:6" x14ac:dyDescent="0.35">
      <c r="A24" t="s">
        <v>390</v>
      </c>
      <c r="B24" t="s">
        <v>65</v>
      </c>
      <c r="C24" s="2">
        <v>46226</v>
      </c>
      <c r="D24" s="2">
        <v>46231</v>
      </c>
      <c r="E24" t="s">
        <v>372</v>
      </c>
      <c r="F24" t="s">
        <v>362</v>
      </c>
    </row>
    <row r="25" spans="1:6" x14ac:dyDescent="0.35">
      <c r="A25" t="s">
        <v>391</v>
      </c>
      <c r="B25" t="s">
        <v>19</v>
      </c>
      <c r="C25" s="2">
        <v>46246</v>
      </c>
      <c r="D25" s="2">
        <v>46253</v>
      </c>
      <c r="E25" t="s">
        <v>384</v>
      </c>
      <c r="F25" t="s">
        <v>359</v>
      </c>
    </row>
    <row r="26" spans="1:6" x14ac:dyDescent="0.35">
      <c r="A26" t="s">
        <v>392</v>
      </c>
      <c r="B26" t="s">
        <v>72</v>
      </c>
      <c r="C26" s="2">
        <v>46039</v>
      </c>
      <c r="D26" s="2">
        <v>46053</v>
      </c>
      <c r="E26" t="s">
        <v>358</v>
      </c>
      <c r="F26" t="s">
        <v>359</v>
      </c>
    </row>
    <row r="27" spans="1:6" x14ac:dyDescent="0.35">
      <c r="D27" s="2"/>
    </row>
  </sheetData>
  <dataValidations count="1">
    <dataValidation type="list" allowBlank="1" showInputMessage="1" showErrorMessage="1" sqref="F2:F100" xr:uid="{4BEC1C7D-F1FA-418F-A13E-EF4C069074F3}">
      <formula1>"Pending,Completed,Cancelled"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A5C30-250B-4934-ABE0-5CC1627101E3}">
  <dimension ref="A1:K77"/>
  <sheetViews>
    <sheetView tabSelected="1" topLeftCell="A17" workbookViewId="0">
      <selection activeCell="B13" sqref="B13"/>
    </sheetView>
  </sheetViews>
  <sheetFormatPr defaultRowHeight="14.5" x14ac:dyDescent="0.35"/>
  <cols>
    <col min="1" max="1" width="15.26953125" bestFit="1" customWidth="1"/>
    <col min="2" max="2" width="14.54296875" bestFit="1" customWidth="1"/>
  </cols>
  <sheetData>
    <row r="1" spans="1:11" ht="14.5" customHeight="1" x14ac:dyDescent="0.35">
      <c r="A1" s="60" t="s">
        <v>393</v>
      </c>
      <c r="B1" s="60"/>
      <c r="C1" s="60"/>
      <c r="D1" s="60"/>
      <c r="E1" s="60"/>
      <c r="F1" s="60"/>
      <c r="G1" s="60"/>
      <c r="H1" s="60"/>
      <c r="I1" s="60"/>
      <c r="J1" s="60"/>
      <c r="K1" s="60"/>
    </row>
    <row r="2" spans="1:11" ht="14.5" customHeight="1" x14ac:dyDescent="0.35">
      <c r="A2" s="60"/>
      <c r="B2" s="60"/>
      <c r="C2" s="60"/>
      <c r="D2" s="60"/>
      <c r="E2" s="60"/>
      <c r="F2" s="60"/>
      <c r="G2" s="60"/>
      <c r="H2" s="60"/>
      <c r="I2" s="60"/>
      <c r="J2" s="60"/>
      <c r="K2" s="60"/>
    </row>
    <row r="3" spans="1:11" ht="15" thickBot="1" x14ac:dyDescent="0.4"/>
    <row r="4" spans="1:11" x14ac:dyDescent="0.35">
      <c r="A4" s="42" t="s">
        <v>394</v>
      </c>
      <c r="B4" s="43"/>
      <c r="C4" s="44"/>
      <c r="E4" s="51" t="s">
        <v>395</v>
      </c>
      <c r="F4" s="52"/>
      <c r="G4" s="53"/>
      <c r="I4" s="6" t="s">
        <v>396</v>
      </c>
      <c r="J4" s="7"/>
      <c r="K4" s="8"/>
    </row>
    <row r="5" spans="1:11" x14ac:dyDescent="0.35">
      <c r="A5" s="45">
        <f>COUNTA(Customers!A2:A41)</f>
        <v>40</v>
      </c>
      <c r="B5" s="46"/>
      <c r="C5" s="47"/>
      <c r="E5" s="54">
        <f>COUNTA(Leads!A2:A51)</f>
        <v>50</v>
      </c>
      <c r="F5" s="55"/>
      <c r="G5" s="56"/>
      <c r="I5" s="9">
        <f>COUNTA(Opportunities!A2:A31)</f>
        <v>30</v>
      </c>
      <c r="J5" s="10"/>
      <c r="K5" s="11"/>
    </row>
    <row r="6" spans="1:11" ht="15" thickBot="1" x14ac:dyDescent="0.4">
      <c r="A6" s="48"/>
      <c r="B6" s="49"/>
      <c r="C6" s="50"/>
      <c r="E6" s="57"/>
      <c r="F6" s="58"/>
      <c r="G6" s="59"/>
      <c r="I6" s="12"/>
      <c r="J6" s="13"/>
      <c r="K6" s="14"/>
    </row>
    <row r="7" spans="1:11" ht="15" thickBot="1" x14ac:dyDescent="0.4"/>
    <row r="8" spans="1:11" x14ac:dyDescent="0.35">
      <c r="A8" s="15" t="s">
        <v>397</v>
      </c>
      <c r="B8" s="16"/>
      <c r="C8" s="17"/>
      <c r="E8" s="24" t="s">
        <v>398</v>
      </c>
      <c r="F8" s="25"/>
      <c r="G8" s="26"/>
      <c r="I8" s="33" t="s">
        <v>399</v>
      </c>
      <c r="J8" s="34"/>
      <c r="K8" s="35"/>
    </row>
    <row r="9" spans="1:11" x14ac:dyDescent="0.35">
      <c r="A9" s="18">
        <f>COUNTA('Follow-ups'!A2:A26)</f>
        <v>25</v>
      </c>
      <c r="B9" s="19"/>
      <c r="C9" s="20"/>
      <c r="E9" s="27">
        <f>SUM(Opportunities!D2:D31)</f>
        <v>37779954</v>
      </c>
      <c r="F9" s="28"/>
      <c r="G9" s="29"/>
      <c r="I9" s="36">
        <f>AVERAGE(Opportunities!D2:D31)</f>
        <v>1259331.8</v>
      </c>
      <c r="J9" s="37"/>
      <c r="K9" s="38"/>
    </row>
    <row r="10" spans="1:11" ht="15" thickBot="1" x14ac:dyDescent="0.4">
      <c r="A10" s="21"/>
      <c r="B10" s="22"/>
      <c r="C10" s="23"/>
      <c r="E10" s="30"/>
      <c r="F10" s="31"/>
      <c r="G10" s="32"/>
      <c r="I10" s="39"/>
      <c r="J10" s="40"/>
      <c r="K10" s="41"/>
    </row>
    <row r="13" spans="1:11" x14ac:dyDescent="0.35">
      <c r="A13" s="4" t="s">
        <v>400</v>
      </c>
      <c r="B13" t="s">
        <v>402</v>
      </c>
    </row>
    <row r="14" spans="1:11" x14ac:dyDescent="0.35">
      <c r="A14" s="5" t="s">
        <v>252</v>
      </c>
      <c r="B14">
        <v>10</v>
      </c>
    </row>
    <row r="15" spans="1:11" x14ac:dyDescent="0.35">
      <c r="A15" s="5" t="s">
        <v>255</v>
      </c>
      <c r="B15">
        <v>9</v>
      </c>
    </row>
    <row r="16" spans="1:11" x14ac:dyDescent="0.35">
      <c r="A16" s="5" t="s">
        <v>269</v>
      </c>
      <c r="B16">
        <v>7</v>
      </c>
    </row>
    <row r="17" spans="1:2" x14ac:dyDescent="0.35">
      <c r="A17" s="5" t="s">
        <v>290</v>
      </c>
      <c r="B17">
        <v>3</v>
      </c>
    </row>
    <row r="18" spans="1:2" x14ac:dyDescent="0.35">
      <c r="A18" s="5" t="s">
        <v>284</v>
      </c>
      <c r="B18">
        <v>7</v>
      </c>
    </row>
    <row r="19" spans="1:2" x14ac:dyDescent="0.35">
      <c r="A19" s="5" t="s">
        <v>258</v>
      </c>
      <c r="B19">
        <v>8</v>
      </c>
    </row>
    <row r="20" spans="1:2" x14ac:dyDescent="0.35">
      <c r="A20" s="5" t="s">
        <v>261</v>
      </c>
      <c r="B20">
        <v>6</v>
      </c>
    </row>
    <row r="21" spans="1:2" x14ac:dyDescent="0.35">
      <c r="A21" s="5" t="s">
        <v>401</v>
      </c>
      <c r="B21">
        <v>50</v>
      </c>
    </row>
    <row r="26" spans="1:2" x14ac:dyDescent="0.35">
      <c r="A26" s="4" t="s">
        <v>400</v>
      </c>
      <c r="B26" t="s">
        <v>403</v>
      </c>
    </row>
    <row r="27" spans="1:2" x14ac:dyDescent="0.35">
      <c r="A27" s="5" t="s">
        <v>319</v>
      </c>
      <c r="B27" s="3">
        <v>3709234</v>
      </c>
    </row>
    <row r="28" spans="1:2" x14ac:dyDescent="0.35">
      <c r="A28" s="5" t="s">
        <v>325</v>
      </c>
      <c r="B28" s="3">
        <v>2732457</v>
      </c>
    </row>
    <row r="29" spans="1:2" x14ac:dyDescent="0.35">
      <c r="A29" s="5" t="s">
        <v>335</v>
      </c>
      <c r="B29" s="3">
        <v>5360620</v>
      </c>
    </row>
    <row r="30" spans="1:2" x14ac:dyDescent="0.35">
      <c r="A30" s="5" t="s">
        <v>328</v>
      </c>
      <c r="B30" s="3">
        <v>3718538</v>
      </c>
    </row>
    <row r="31" spans="1:2" x14ac:dyDescent="0.35">
      <c r="A31" s="5" t="s">
        <v>316</v>
      </c>
      <c r="B31" s="3">
        <v>3874157</v>
      </c>
    </row>
    <row r="32" spans="1:2" x14ac:dyDescent="0.35">
      <c r="A32" s="5" t="s">
        <v>332</v>
      </c>
      <c r="B32" s="3">
        <v>4414265</v>
      </c>
    </row>
    <row r="33" spans="1:2" x14ac:dyDescent="0.35">
      <c r="A33" s="5" t="s">
        <v>322</v>
      </c>
      <c r="B33" s="3">
        <v>10571867</v>
      </c>
    </row>
    <row r="34" spans="1:2" x14ac:dyDescent="0.35">
      <c r="A34" s="5" t="s">
        <v>330</v>
      </c>
      <c r="B34" s="3">
        <v>3398816</v>
      </c>
    </row>
    <row r="35" spans="1:2" x14ac:dyDescent="0.35">
      <c r="A35" s="5" t="s">
        <v>401</v>
      </c>
      <c r="B35" s="3">
        <v>37779954</v>
      </c>
    </row>
    <row r="44" spans="1:2" x14ac:dyDescent="0.35">
      <c r="A44" s="4" t="s">
        <v>400</v>
      </c>
      <c r="B44" t="s">
        <v>404</v>
      </c>
    </row>
    <row r="45" spans="1:2" x14ac:dyDescent="0.35">
      <c r="A45" s="5" t="s">
        <v>326</v>
      </c>
      <c r="B45">
        <v>8</v>
      </c>
    </row>
    <row r="46" spans="1:2" x14ac:dyDescent="0.35">
      <c r="A46" s="5" t="s">
        <v>337</v>
      </c>
      <c r="B46">
        <v>2</v>
      </c>
    </row>
    <row r="47" spans="1:2" x14ac:dyDescent="0.35">
      <c r="A47" s="5" t="s">
        <v>269</v>
      </c>
      <c r="B47">
        <v>4</v>
      </c>
    </row>
    <row r="48" spans="1:2" x14ac:dyDescent="0.35">
      <c r="A48" s="5" t="s">
        <v>320</v>
      </c>
      <c r="B48">
        <v>7</v>
      </c>
    </row>
    <row r="49" spans="1:2" x14ac:dyDescent="0.35">
      <c r="A49" s="5" t="s">
        <v>317</v>
      </c>
      <c r="B49">
        <v>9</v>
      </c>
    </row>
    <row r="50" spans="1:2" x14ac:dyDescent="0.35">
      <c r="A50" s="5" t="s">
        <v>401</v>
      </c>
      <c r="B50">
        <v>30</v>
      </c>
    </row>
    <row r="58" spans="1:2" x14ac:dyDescent="0.35">
      <c r="A58" s="4" t="s">
        <v>400</v>
      </c>
      <c r="B58" t="s">
        <v>405</v>
      </c>
    </row>
    <row r="59" spans="1:2" x14ac:dyDescent="0.35">
      <c r="A59" s="5" t="s">
        <v>70</v>
      </c>
      <c r="B59">
        <v>6</v>
      </c>
    </row>
    <row r="60" spans="1:2" x14ac:dyDescent="0.35">
      <c r="A60" s="5" t="s">
        <v>32</v>
      </c>
      <c r="B60">
        <v>4</v>
      </c>
    </row>
    <row r="61" spans="1:2" x14ac:dyDescent="0.35">
      <c r="A61" s="5" t="s">
        <v>49</v>
      </c>
      <c r="B61">
        <v>4</v>
      </c>
    </row>
    <row r="62" spans="1:2" x14ac:dyDescent="0.35">
      <c r="A62" s="5" t="s">
        <v>36</v>
      </c>
      <c r="B62">
        <v>4</v>
      </c>
    </row>
    <row r="63" spans="1:2" x14ac:dyDescent="0.35">
      <c r="A63" s="5" t="s">
        <v>190</v>
      </c>
      <c r="B63">
        <v>7</v>
      </c>
    </row>
    <row r="64" spans="1:2" x14ac:dyDescent="0.35">
      <c r="A64" s="5" t="s">
        <v>13</v>
      </c>
      <c r="B64">
        <v>6</v>
      </c>
    </row>
    <row r="65" spans="1:2" x14ac:dyDescent="0.35">
      <c r="A65" s="5" t="s">
        <v>43</v>
      </c>
      <c r="B65">
        <v>1</v>
      </c>
    </row>
    <row r="66" spans="1:2" x14ac:dyDescent="0.35">
      <c r="A66" s="5" t="s">
        <v>189</v>
      </c>
      <c r="B66">
        <v>4</v>
      </c>
    </row>
    <row r="67" spans="1:2" x14ac:dyDescent="0.35">
      <c r="A67" s="5" t="s">
        <v>64</v>
      </c>
      <c r="B67">
        <v>4</v>
      </c>
    </row>
    <row r="68" spans="1:2" x14ac:dyDescent="0.35">
      <c r="A68" s="5" t="s">
        <v>401</v>
      </c>
      <c r="B68">
        <v>40</v>
      </c>
    </row>
    <row r="73" spans="1:2" x14ac:dyDescent="0.35">
      <c r="A73" s="4" t="s">
        <v>400</v>
      </c>
      <c r="B73" t="s">
        <v>406</v>
      </c>
    </row>
    <row r="74" spans="1:2" x14ac:dyDescent="0.35">
      <c r="A74" s="5" t="s">
        <v>362</v>
      </c>
      <c r="B74">
        <v>9</v>
      </c>
    </row>
    <row r="75" spans="1:2" x14ac:dyDescent="0.35">
      <c r="A75" s="5" t="s">
        <v>359</v>
      </c>
      <c r="B75">
        <v>10</v>
      </c>
    </row>
    <row r="76" spans="1:2" x14ac:dyDescent="0.35">
      <c r="A76" s="5" t="s">
        <v>373</v>
      </c>
      <c r="B76">
        <v>6</v>
      </c>
    </row>
    <row r="77" spans="1:2" x14ac:dyDescent="0.35">
      <c r="A77" s="5" t="s">
        <v>401</v>
      </c>
      <c r="B77">
        <v>25</v>
      </c>
    </row>
  </sheetData>
  <mergeCells count="13">
    <mergeCell ref="A1:K2"/>
    <mergeCell ref="I4:K4"/>
    <mergeCell ref="I5:K6"/>
    <mergeCell ref="A8:C8"/>
    <mergeCell ref="A9:C10"/>
    <mergeCell ref="E8:G8"/>
    <mergeCell ref="E9:G10"/>
    <mergeCell ref="I8:K8"/>
    <mergeCell ref="I9:K10"/>
    <mergeCell ref="A4:C4"/>
    <mergeCell ref="A5:C6"/>
    <mergeCell ref="E4:G4"/>
    <mergeCell ref="E5:G6"/>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Leads</vt:lpstr>
      <vt:lpstr>Opportunities</vt:lpstr>
      <vt:lpstr>Follow-ups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c:creator>
  <cp:lastModifiedBy>dellgvcjjx3@outlook.com</cp:lastModifiedBy>
  <dcterms:created xsi:type="dcterms:W3CDTF">2015-06-05T18:17:20Z</dcterms:created>
  <dcterms:modified xsi:type="dcterms:W3CDTF">2026-07-07T16:23:52Z</dcterms:modified>
</cp:coreProperties>
</file>